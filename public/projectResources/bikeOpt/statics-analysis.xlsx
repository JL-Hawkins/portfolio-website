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24c03c61c34d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ic Analysis Calculator" sheetId="3" r:id="R0f78299a6e324753"/>
    <x:sheet xmlns:r="http://schemas.openxmlformats.org/officeDocument/2006/relationships" name="Redesign Verification Analysis" sheetId="1" r:id="Rab6e90b1e00144ed"/>
  </x:sheets>
  <x:definedNames>
    <x:definedName name="CritFatigueWeight">'Redesign Verification Analysis'!$C$37</x:definedName>
    <x:definedName name="FOS_Fatigue">'Redesign Verification Analysis'!$G$32:$G$36</x:definedName>
    <x:definedName name="FOS_Tube_List">'Redesign Verification Analysis'!$G$32:$G$36</x:definedName>
    <x:definedName name="RiderWeightInput">'Redesign Verification Analysis'!$C$3</x:definedName>
    <x:definedName name="CritFatigueWeight" localSheetId="0">'Static Analysis Calculator'!$C$37</x:definedName>
    <x:definedName name="FOS_Fatigue" localSheetId="0">'Static Analysis Calculator'!$G$32:$G$36</x:definedName>
    <x:definedName name="FOS_Tube_List" localSheetId="0">'Static Analysis Calculator'!$G$32:$G$36</x:definedName>
    <x:definedName name="RiderWeightInput" localSheetId="0">'Static Analysis Calculator'!$C$3</x:definedName>
  </x:definedNames>
</x:workbook>
</file>

<file path=xl/sharedStrings.xml><?xml version="1.0" encoding="utf-8"?>
<x:sst xmlns:x="http://schemas.openxmlformats.org/spreadsheetml/2006/main">
  <x:si>
    <x:t xml:space="preserve">Input Values</x:t>
  </x:si>
  <x:si>
    <x:t xml:space="preserve">External Reaction Forces (lbf)</x:t>
  </x:si>
  <x:si>
    <x:t xml:space="preserve">Bicyclist Weight (W) [lbf]</x:t>
  </x:si>
  <x:si>
    <x:t xml:space="preserve">Reaction at A (FA)</x:t>
  </x:si>
  <x:si>
    <x:t xml:space="preserve">Angles (°)</x:t>
  </x:si>
  <x:si>
    <x:t xml:space="preserve">Reaction at C (FC)</x:t>
  </x:si>
  <x:si>
    <x:t xml:space="preserve">&lt;BAD</x:t>
  </x:si>
  <x:si>
    <x:t xml:space="preserve">*Note 2 FC reactions (2 identical rear supports)</x:t>
  </x:si>
  <x:si>
    <x:t xml:space="preserve">&lt;ABD</x:t>
  </x:si>
  <x:si>
    <x:r>
      <x:rPr>
        <x:i/>
        <x:sz val="11"/>
        <x:color rgb="FFFF0000"/>
        <x:rFont val="Aptos Narrow"/>
        <x:family val="2"/>
        <x:scheme val="minor"/>
      </x:rPr>
      <x:t xml:space="preserve">Tension</x:t>
    </x:r>
    <x:r>
      <x:rPr>
        <x:i/>
        <x:sz val="11"/>
        <x:color theme="1"/>
        <x:rFont val="Aptos Narrow"/>
        <x:family val="2"/>
        <x:scheme val="minor"/>
      </x:rPr>
      <x:t xml:space="preserve"> = Postive</x:t>
    </x:r>
  </x:si>
  <x:si>
    <x:t xml:space="preserve">&lt;DBC</x:t>
  </x:si>
  <x:si>
    <x:r>
      <x:rPr>
        <x:i/>
        <x:sz val="11"/>
        <x:color theme="3" tint="0.49998"/>
        <x:rFont val="Aptos Narrow"/>
        <x:family val="2"/>
        <x:scheme val="minor"/>
      </x:rPr>
      <x:t xml:space="preserve">Compression </x:t>
    </x:r>
    <x:r>
      <x:rPr>
        <x:i/>
        <x:sz val="11"/>
        <x:color theme="1"/>
        <x:rFont val="Aptos Narrow"/>
        <x:family val="2"/>
        <x:scheme val="minor"/>
      </x:rPr>
      <x:t xml:space="preserve">= Negative</x:t>
    </x:r>
  </x:si>
  <x:si>
    <x:t xml:space="preserve">&lt;BCD</x:t>
  </x:si>
  <x:si>
    <x:t xml:space="preserve">&lt;CDB</x:t>
  </x:si>
  <x:si>
    <x:t xml:space="preserve">Static Analysis</x:t>
  </x:si>
  <x:si>
    <x:t xml:space="preserve">AB from horizontal</x:t>
  </x:si>
  <x:si>
    <x:t xml:space="preserve">Internal Reaction Forces (lbf)</x:t>
  </x:si>
  <x:si>
    <x:t xml:space="preserve">BC from horizontal</x:t>
  </x:si>
  <x:si>
    <x:t xml:space="preserve">FAB (Down Tube)</x:t>
  </x:si>
  <x:si>
    <x:t xml:space="preserve">AD from horizontal</x:t>
  </x:si>
  <x:si>
    <x:t xml:space="preserve">FAD (Top Tube)</x:t>
  </x:si>
  <x:si>
    <x:t xml:space="preserve">BD from horizontal</x:t>
  </x:si>
  <x:si>
    <x:t xml:space="preserve">FBD (Seat Tube)</x:t>
  </x:si>
  <x:si>
    <x:t xml:space="preserve">Headtube </x:t>
  </x:si>
  <x:si>
    <x:t xml:space="preserve">FDC (Seat Stays)</x:t>
  </x:si>
  <x:si>
    <x:t xml:space="preserve">Member Lengths (in)</x:t>
  </x:si>
  <x:si>
    <x:t xml:space="preserve">FBC (Chain Stays)</x:t>
  </x:si>
  <x:si>
    <x:t xml:space="preserve">Length AD</x:t>
  </x:si>
  <x:si>
    <x:t xml:space="preserve">Length AB</x:t>
  </x:si>
  <x:si>
    <x:t xml:space="preserve">Static Failure Analysis</x:t>
  </x:si>
  <x:si>
    <x:t xml:space="preserve">Length BC</x:t>
  </x:si>
  <x:si>
    <x:t xml:space="preserve">Yield Strength (σy, psi)</x:t>
  </x:si>
  <x:si>
    <x:t xml:space="preserve">Length BD</x:t>
  </x:si>
  <x:si>
    <x:r>
      <x:t xml:space="preserve">Max Allowable Force (σmax</x:t>
    </x:r>
    <x:r>
      <x:rPr>
        <x:sz val="11"/>
        <x:rFont val="Aptos Narrow"/>
        <x:family val="2"/>
      </x:rPr>
      <x:t xml:space="preserve">)</x:t>
    </x:r>
    <x:r>
      <x:rPr>
        <x:sz val="11"/>
        <x:rFont val="Aptos Narrow"/>
        <x:family val="2"/>
        <x:scheme val="minor"/>
      </x:rPr>
      <x:t xml:space="preserve"> (lbf)</x:t>
    </x:r>
  </x:si>
  <x:si>
    <x:t xml:space="preserve">Effective Stress (σ') (psi)</x:t>
  </x:si>
  <x:si>
    <x:t xml:space="preserve">Yield FOS (σmax/σ')</x:t>
  </x:si>
  <x:si>
    <x:t xml:space="preserve">Length CD</x:t>
  </x:si>
  <x:si>
    <x:t xml:space="preserve">Down Tube</x:t>
  </x:si>
  <x:si>
    <x:t xml:space="preserve">Lever Arms</x:t>
  </x:si>
  <x:si>
    <x:t xml:space="preserve">Top Tube</x:t>
  </x:si>
  <x:si>
    <x:t xml:space="preserve">ax</x:t>
  </x:si>
  <x:si>
    <x:t xml:space="preserve">Seat Tube</x:t>
  </x:si>
  <x:si>
    <x:t xml:space="preserve">bx</x:t>
  </x:si>
  <x:si>
    <x:t xml:space="preserve">Seat Stays</x:t>
  </x:si>
  <x:si>
    <x:t xml:space="preserve">cx</x:t>
  </x:si>
  <x:si>
    <x:t xml:space="preserve">Chain Stays</x:t>
  </x:si>
  <x:si>
    <x:t xml:space="preserve">dx</x:t>
  </x:si>
  <x:si>
    <x:t xml:space="preserve">*Note: Based on cross-sectional area</x:t>
  </x:si>
  <x:si>
    <x:t xml:space="preserve">*Note: FOS = 1 = Yield </x:t>
  </x:si>
  <x:si>
    <x:t xml:space="preserve">Length A to C (ax + cx)</x:t>
  </x:si>
  <x:si>
    <x:t xml:space="preserve">Cross-Sectional Area</x:t>
  </x:si>
  <x:si>
    <x:t xml:space="preserve">Fatigue Failure Analysis</x:t>
  </x:si>
  <x:si>
    <x:t xml:space="preserve">Ultimate Tensile Str (Sut, psi)</x:t>
  </x:si>
  <x:si>
    <x:t xml:space="preserve">Endurance Limit (Se, psi)</x:t>
  </x:si>
  <x:si>
    <x:t xml:space="preserve">σmin </x:t>
  </x:si>
  <x:si>
    <x:t xml:space="preserve">Head Tube</x:t>
  </x:si>
  <x:si>
    <x:t xml:space="preserve">Frame Members</x:t>
  </x:si>
  <x:si>
    <x:t xml:space="preserve">σmax = σ'</x:t>
  </x:si>
  <x:si>
    <x:t xml:space="preserve">Fatigue FOS (Goodman)</x:t>
  </x:si>
  <x:si>
    <x:t xml:space="preserve">Critical Bicyclist Weight (lbf)</x:t>
  </x:si>
  <x:si>
    <x:t xml:space="preserve">Static:</x:t>
  </x:si>
  <x:si>
    <x:t xml:space="preserve">Fatigue:</x:t>
  </x:si>
  <x:si>
    <x:t xml:space="preserve">Critical Member (Tensile):</x:t>
  </x:si>
  <x:si>
    <x:t xml:space="preserve">*Note: FOS = 1 = Fatigue Failure </x:t>
  </x:si>
</x:sst>
</file>

<file path=xl/styles.xml><?xml version="1.0" encoding="utf-8"?>
<x:styleSheet xmlns:x="http://schemas.openxmlformats.org/spreadsheetml/2006/main">
  <x:numFmts count="2">
    <x:numFmt numFmtId="164" formatCode="0.000"/>
    <x:numFmt numFmtId="165" formatCode="0.00000"/>
  </x:numFmts>
  <x:fonts count="10">
    <x:font>
      <x:sz val="11"/>
      <x:color theme="1"/>
      <x:name val="Aptos Narrow"/>
    </x:font>
    <x:font>
      <x:sz val="11"/>
      <x:color theme="1"/>
      <x:name val="Aptos Narrow"/>
    </x:font>
    <x:font>
      <x:b/>
      <x:sz val="11"/>
      <x:color theme="1"/>
      <x:name val="Aptos Narrow"/>
    </x:font>
    <x:font>
      <x:sz val="11"/>
      <x:color rgb="FFC00000"/>
      <x:name val="Aptos Narrow"/>
    </x:font>
    <x:font>
      <x:sz val="11"/>
      <x:color rgb="FF0070C0"/>
      <x:name val="Aptos Narrow"/>
    </x:font>
    <x:font>
      <x:sz val="11"/>
      <x:name val="Aptos Narrow"/>
    </x:font>
    <x:font>
      <x:sz val="11"/>
      <x:name val="Aptos Narrow"/>
    </x:font>
    <x:font>
      <x:i/>
      <x:sz val="11"/>
      <x:color theme="1"/>
      <x:name val="Aptos Narrow"/>
    </x:font>
    <x:font>
      <x:i/>
      <x:sz val="11"/>
      <x:color rgb="FFFF0000"/>
      <x:name val="Aptos Narrow"/>
    </x:font>
    <x:font>
      <x:i/>
      <x:sz val="11"/>
      <x:color theme="3" tint="0.49998"/>
      <x:name val="Aptos Narrow"/>
    </x:font>
  </x:fonts>
  <x:fills count="7">
    <x:fill>
      <x:patternFill patternType="none"/>
    </x:fill>
    <x:fill>
      <x:patternFill patternType="gray125"/>
    </x:fill>
    <x:fill>
      <x:patternFill patternType="solid">
        <x:fgColor theme="7" tint="0.79998"/>
      </x:patternFill>
    </x:fill>
    <x:fill>
      <x:patternFill patternType="solid">
        <x:fgColor theme="2"/>
      </x:patternFill>
    </x:fill>
    <x:fill>
      <x:patternFill patternType="solid">
        <x:fgColor theme="9" tint="0.79998"/>
      </x:patternFill>
    </x:fill>
    <x:fill>
      <x:patternFill patternType="solid">
        <x:fgColor theme="5" tint="0.79998"/>
      </x:patternFill>
    </x:fill>
    <x:fill>
      <x:patternFill patternType="solid">
        <x:fgColor rgb="FFFFCCCC"/>
      </x:patternFill>
    </x:fill>
  </x:fills>
  <x:borders count="14">
    <x:border/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indexed="64"/>
      </x:left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top style="medium">
        <x:color indexed="64"/>
      </x:top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</x:border>
  </x:borders>
  <x:cellStyleXfs count="4">
    <x:xf numFmtId="0" fontId="0" fillId="0" borderId="0"/>
    <x:xf numFmtId="0" fontId="1" fillId="2" borderId="0" applyNumberFormat="0" applyBorder="0" applyAlignment="0" applyProtection="0"/>
    <x:xf numFmtId="0" fontId="1" fillId="4" borderId="0" applyNumberFormat="0" applyBorder="0" applyAlignment="0" applyProtection="0"/>
    <x:xf numFmtId="0" fontId="1" fillId="5" borderId="0" applyNumberFormat="0" applyBorder="0" applyAlignment="0" applyProtection="0"/>
  </x:cellStyleXfs>
  <x:cellXfs count="76">
    <x:xf numFmtId="0" fontId="0" fillId="0" borderId="0" xfId="0"/>
    <x:xf numFmtId="0" fontId="0" fillId="0" borderId="3" xfId="0" applyBorder="1" applyAlignment="1">
      <x:alignment vertical="center" wrapText="1"/>
    </x:xf>
    <x:xf numFmtId="0" fontId="0" fillId="0" borderId="4" xfId="0" applyBorder="1" applyAlignment="1">
      <x:alignment vertical="center" wrapText="1"/>
    </x:xf>
    <x:xf numFmtId="0" fontId="0" fillId="0" borderId="4" xfId="0" applyBorder="1"/>
    <x:xf numFmtId="0" fontId="0" fillId="0" borderId="5" xfId="0" applyBorder="1" applyAlignment="1">
      <x:alignment vertical="center" wrapText="1"/>
    </x:xf>
    <x:xf numFmtId="0" fontId="0" fillId="0" borderId="3" xfId="0" applyBorder="1"/>
    <x:xf numFmtId="0" fontId="0" fillId="0" borderId="5" xfId="0" applyBorder="1"/>
    <x:xf numFmtId="0" fontId="2" fillId="3" borderId="1" xfId="0" applyFont="1" applyFill="1" applyBorder="1" applyAlignment="1">
      <x:alignment vertical="center" wrapText="1"/>
    </x:xf>
    <x:xf numFmtId="0" fontId="2" fillId="3" borderId="2" xfId="0" applyFont="1" applyFill="1" applyBorder="1" applyAlignment="1">
      <x:alignment vertical="center" wrapText="1"/>
    </x:xf>
    <x:xf numFmtId="164" fontId="0" fillId="0" borderId="4" xfId="0" applyNumberFormat="1" applyBorder="1"/>
    <x:xf numFmtId="164" fontId="0" fillId="0" borderId="6" xfId="0" applyNumberFormat="1" applyBorder="1"/>
    <x:xf numFmtId="0" fontId="0" fillId="0" borderId="7" xfId="0" applyBorder="1"/>
    <x:xf numFmtId="0" fontId="3" fillId="0" borderId="0" xfId="0" applyFont="1"/>
    <x:xf numFmtId="0" fontId="4" fillId="0" borderId="0" xfId="0" applyFont="1"/>
    <x:xf numFmtId="2" fontId="0" fillId="0" borderId="0" xfId="0" applyNumberFormat="1"/>
    <x:xf numFmtId="164" fontId="0" fillId="0" borderId="4" xfId="0" applyNumberFormat="1" applyBorder="1" applyAlignment="1">
      <x:alignment vertical="center" wrapText="1"/>
    </x:xf>
    <x:xf numFmtId="164" fontId="0" fillId="0" borderId="8" xfId="0" applyNumberFormat="1" applyBorder="1"/>
    <x:xf numFmtId="0" fontId="1" fillId="0" borderId="0" xfId="1" applyFill="1" applyBorder="1" applyAlignment="1">
      <x:alignment horizontal="center"/>
    </x:xf>
    <x:xf numFmtId="0" fontId="2" fillId="0" borderId="0" xfId="1" applyFont="1" applyFill="1" applyBorder="1" applyAlignment="1"/>
    <x:xf numFmtId="164" fontId="1" fillId="0" borderId="4" xfId="1" applyNumberFormat="1" applyFill="1" applyBorder="1" applyAlignment="1">
      <x:alignment horizontal="right"/>
    </x:xf>
    <x:xf numFmtId="0" fontId="0" fillId="0" borderId="3" xfId="1" applyFont="1" applyFill="1" applyBorder="1" applyAlignment="1">
      <x:alignment horizontal="left"/>
    </x:xf>
    <x:xf numFmtId="0" fontId="0" fillId="0" borderId="7" xfId="0" applyBorder="1" applyAlignment="1">
      <x:alignment vertical="center" wrapText="1"/>
    </x:xf>
    <x:xf numFmtId="0" fontId="0" fillId="0" borderId="8" xfId="0" applyBorder="1" applyAlignment="1">
      <x:alignment vertical="center" wrapText="1"/>
    </x:xf>
    <x:xf numFmtId="0" fontId="0" fillId="0" borderId="6" xfId="0" applyBorder="1" applyAlignment="1">
      <x:alignment vertical="center" wrapText="1"/>
    </x:xf>
    <x:xf numFmtId="0" fontId="2" fillId="6" borderId="1" xfId="0" applyFont="1" applyFill="1" applyBorder="1" applyAlignment="1">
      <x:alignment vertical="center" wrapText="1"/>
    </x:xf>
    <x:xf numFmtId="1" fontId="2" fillId="6" borderId="2" xfId="0" applyNumberFormat="1" applyFont="1" applyFill="1" applyBorder="1" applyAlignment="1">
      <x:alignment vertical="center" wrapText="1"/>
    </x:xf>
    <x:xf numFmtId="0" fontId="2" fillId="0" borderId="0" xfId="0" applyFont="1"/>
    <x:xf numFmtId="0" fontId="0" fillId="0" borderId="1" xfId="0" applyBorder="1"/>
    <x:xf numFmtId="0" fontId="0" fillId="0" borderId="2" xfId="0" applyBorder="1"/>
    <x:xf numFmtId="0" fontId="0" fillId="0" borderId="4" xfId="0" applyBorder="1" applyAlignment="1">
      <x:alignment horizontal="right"/>
    </x:xf>
    <x:xf numFmtId="0" fontId="7" fillId="0" borderId="0" xfId="0" applyFont="1" applyAlignment="1">
      <x:alignment vertical="center" wrapText="1"/>
    </x:xf>
    <x:xf numFmtId="0" fontId="0" fillId="5" borderId="2" xfId="3" applyFont="1" applyBorder="1" applyAlignment="1">
      <x:alignment horizontal="center" vertical="center" wrapText="1"/>
    </x:xf>
    <x:xf numFmtId="0" fontId="0" fillId="5" borderId="9" xfId="3" applyFont="1" applyBorder="1" applyAlignment="1">
      <x:alignment horizontal="center" vertical="center"/>
    </x:xf>
    <x:xf numFmtId="0" fontId="7" fillId="0" borderId="0" xfId="0" applyFont="1"/>
    <x:xf numFmtId="164" fontId="0" fillId="0" borderId="4" xfId="0" applyNumberFormat="1" applyBorder="1" applyAlignment="1">
      <x:alignment horizontal="right"/>
    </x:xf>
    <x:xf numFmtId="164" fontId="0" fillId="0" borderId="6" xfId="0" applyNumberFormat="1" applyBorder="1" applyAlignment="1">
      <x:alignment horizontal="right"/>
    </x:xf>
    <x:xf numFmtId="1" fontId="5" fillId="0" borderId="4" xfId="0" applyNumberFormat="1" applyFont="1" applyBorder="1" applyAlignment="1">
      <x:alignment horizontal="right" vertical="center" wrapText="1"/>
    </x:xf>
    <x:xf numFmtId="0" fontId="0" fillId="0" borderId="6" xfId="0" applyBorder="1" applyAlignment="1">
      <x:alignment horizontal="right"/>
    </x:xf>
    <x:xf numFmtId="1" fontId="0" fillId="0" borderId="11" xfId="0" applyNumberFormat="1" applyBorder="1" applyAlignment="1">
      <x:alignment horizontal="right"/>
    </x:xf>
    <x:xf numFmtId="1" fontId="0" fillId="0" borderId="12" xfId="0" applyNumberFormat="1" applyBorder="1" applyAlignment="1">
      <x:alignment horizontal="right"/>
    </x:xf>
    <x:xf numFmtId="165" fontId="0" fillId="0" borderId="4" xfId="0" applyNumberFormat="1" applyBorder="1" applyAlignment="1">
      <x:alignment horizontal="right"/>
    </x:xf>
    <x:xf numFmtId="165" fontId="0" fillId="0" borderId="6" xfId="0" applyNumberFormat="1" applyBorder="1" applyAlignment="1">
      <x:alignment horizontal="right"/>
    </x:xf>
    <x:xf numFmtId="0" fontId="7" fillId="0" borderId="10" xfId="0" applyFont="1" applyBorder="1" applyAlignment="1">
      <x:alignment horizontal="center" vertical="center" wrapText="1"/>
    </x:xf>
    <x:xf numFmtId="0" fontId="2" fillId="0" borderId="0" xfId="0" applyFont="1" applyAlignment="1">
      <x:alignment vertical="center" wrapText="1"/>
    </x:xf>
    <x:xf numFmtId="0" fontId="0" fillId="0" borderId="8" xfId="0" applyBorder="1"/>
    <x:xf numFmtId="1" fontId="0" fillId="0" borderId="8" xfId="0" applyNumberFormat="1" applyBorder="1" applyAlignment="1">
      <x:alignment horizontal="center" vertical="center" wrapText="1"/>
    </x:xf>
    <x:xf numFmtId="0" fontId="0" fillId="0" borderId="6" xfId="0" applyBorder="1" applyAlignment="1">
      <x:alignment horizontal="center"/>
    </x:xf>
    <x:xf numFmtId="1" fontId="2" fillId="0" borderId="5" xfId="0" applyNumberFormat="1" applyFont="1" applyBorder="1" applyAlignment="1">
      <x:alignment vertical="center" wrapText="1"/>
    </x:xf>
    <x:xf numFmtId="1" fontId="2" fillId="0" borderId="6" xfId="0" applyNumberFormat="1" applyFont="1" applyBorder="1" applyAlignment="1">
      <x:alignment horizontal="center" vertical="center" wrapText="1"/>
    </x:xf>
    <x:xf numFmtId="0" fontId="2" fillId="2" borderId="7" xfId="1" applyFont="1" applyBorder="1" applyAlignment="1">
      <x:alignment horizontal="center"/>
    </x:xf>
    <x:xf numFmtId="0" fontId="2" fillId="2" borderId="8" xfId="1" applyFont="1" applyBorder="1" applyAlignment="1">
      <x:alignment horizontal="center"/>
    </x:xf>
    <x:xf numFmtId="0" fontId="2" fillId="4" borderId="1" xfId="2" applyFont="1" applyBorder="1" applyAlignment="1">
      <x:alignment horizontal="center"/>
    </x:xf>
    <x:xf numFmtId="0" fontId="2" fillId="4" borderId="2" xfId="2" applyFont="1" applyBorder="1" applyAlignment="1">
      <x:alignment horizontal="center"/>
    </x:xf>
    <x:xf numFmtId="0" fontId="0" fillId="0" borderId="1" xfId="0" applyBorder="1" applyAlignment="1">
      <x:alignment horizontal="center" vertical="center" wrapText="1"/>
    </x:xf>
    <x:xf numFmtId="0" fontId="0" fillId="0" borderId="2" xfId="0" applyBorder="1" applyAlignment="1">
      <x:alignment horizontal="center" vertical="center" wrapText="1"/>
    </x:xf>
    <x:xf numFmtId="0" fontId="0" fillId="0" borderId="1" xfId="0" applyBorder="1" applyAlignment="1">
      <x:alignment horizontal="center"/>
    </x:xf>
    <x:xf numFmtId="0" fontId="0" fillId="0" borderId="2" xfId="0" applyBorder="1" applyAlignment="1">
      <x:alignment horizontal="center"/>
    </x:xf>
    <x:xf numFmtId="0" fontId="0" fillId="5" borderId="1" xfId="3" applyFont="1" applyBorder="1" applyAlignment="1">
      <x:alignment horizontal="center" vertical="center"/>
    </x:xf>
    <x:xf numFmtId="0" fontId="0" fillId="5" borderId="2" xfId="3" applyFont="1" applyBorder="1" applyAlignment="1">
      <x:alignment horizontal="center" vertical="center"/>
    </x:xf>
    <x:xf numFmtId="0" fontId="2" fillId="2" borderId="1" xfId="1" applyFont="1" applyBorder="1" applyAlignment="1">
      <x:alignment horizontal="center"/>
    </x:xf>
    <x:xf numFmtId="0" fontId="2" fillId="2" borderId="2" xfId="1" applyFont="1" applyBorder="1" applyAlignment="1">
      <x:alignment horizontal="center"/>
    </x:xf>
    <x:xf numFmtId="0" fontId="7" fillId="0" borderId="10" xfId="0" applyFont="1" applyBorder="1" applyAlignment="1">
      <x:alignment horizontal="center" vertical="center" wrapText="1"/>
    </x:xf>
    <x:xf numFmtId="0" fontId="7" fillId="0" borderId="10" xfId="0" applyFont="1" applyBorder="1" applyAlignment="1">
      <x:alignment horizontal="left"/>
    </x:xf>
    <x:xf numFmtId="1" fontId="0" fillId="0" borderId="4" xfId="0" applyNumberFormat="1" applyBorder="1"/>
    <x:xf numFmtId="0" fontId="0" fillId="5" borderId="5" xfId="3" applyFont="1" applyBorder="1" applyAlignment="1">
      <x:alignment horizontal="center" vertical="center"/>
    </x:xf>
    <x:xf numFmtId="0" fontId="0" fillId="0" borderId="5" xfId="3" applyFont="1" applyFill="1" applyBorder="1" applyAlignment="1">
      <x:alignment horizontal="center" vertical="center"/>
    </x:xf>
    <x:xf numFmtId="0" fontId="0" fillId="0" borderId="6" xfId="0" applyBorder="1"/>
    <x:xf numFmtId="165" fontId="0" fillId="0" borderId="4" xfId="0" applyNumberFormat="1" applyBorder="1"/>
    <x:xf numFmtId="0" fontId="0" fillId="5" borderId="7" xfId="3" applyFont="1" applyBorder="1" applyAlignment="1">
      <x:alignment horizontal="center" vertical="center"/>
    </x:xf>
    <x:xf numFmtId="1" fontId="0" fillId="0" borderId="13" xfId="0" applyNumberFormat="1" applyBorder="1"/>
    <x:xf numFmtId="165" fontId="0" fillId="0" borderId="4" xfId="0" applyNumberFormat="1" applyBorder="1" applyAlignment="1">
      <x:alignment horizontal="center"/>
    </x:xf>
    <x:xf numFmtId="165" fontId="0" fillId="0" borderId="6" xfId="0" applyNumberFormat="1" applyBorder="1"/>
    <x:xf numFmtId="1" fontId="0" fillId="0" borderId="11" xfId="0" applyNumberFormat="1" applyBorder="1"/>
    <x:xf numFmtId="1" fontId="0" fillId="0" borderId="12" xfId="0" applyNumberFormat="1" applyBorder="1"/>
    <x:xf numFmtId="0" fontId="7" fillId="0" borderId="3" xfId="0" applyFont="1" applyBorder="1" applyAlignment="1">
      <x:alignment horizontal="left" vertical="center" wrapText="1"/>
    </x:xf>
    <x:xf numFmtId="0" fontId="7" fillId="0" borderId="0" xfId="0" applyFont="1" applyBorder="1" applyAlignment="1">
      <x:alignment horizontal="left" vertical="center" wrapText="1"/>
    </x:xf>
  </x:cellXfs>
  <x:cellStyles count="4">
    <x:cellStyle name="20% - Accent2" xfId="3"/>
    <x:cellStyle name="20% - Accent4" xfId="1"/>
    <x:cellStyle name="20% - Accent6" xfId="2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cabffbad244252" /><Relationship Type="http://schemas.openxmlformats.org/officeDocument/2006/relationships/theme" Target="/xl/theme/theme1.xml" Id="R685256c233a249cd" /><Relationship Type="http://schemas.openxmlformats.org/officeDocument/2006/relationships/sharedStrings" Target="/xl/sharedStrings.xml" Id="R5cdc190f9102478f" /><Relationship Type="http://schemas.openxmlformats.org/officeDocument/2006/relationships/worksheet" Target="/xl/worksheets/sheet1.xml" Id="R0f78299a6e324753" /><Relationship Type="http://schemas.openxmlformats.org/officeDocument/2006/relationships/worksheet" Target="/xl/worksheets/sheet2.xml" Id="Rab6e90b1e00144e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theme="4" tint="0.59999"/>
  </x:sheetPr>
  <x:sheetFormatPr defaultRowHeight="15"/>
  <x:cols>
    <x:col min="2" max="2" width="34.42578125" customWidth="1"/>
    <x:col min="3" max="3" width="18.140625" customWidth="1"/>
    <x:col min="4" max="4" width="9.5703125" customWidth="1"/>
    <x:col min="5" max="5" width="25" customWidth="1"/>
    <x:col min="6" max="6" width="20" customWidth="1"/>
    <x:col min="7" max="7" width="23" customWidth="1"/>
    <x:col min="8" max="8" width="20.7109375" customWidth="1"/>
    <x:col min="9" max="9" width="26.42578125" customWidth="1"/>
    <x:col min="10" max="11" width="26.85546875" customWidth="1"/>
    <x:col min="12" max="12" width="20.28515625" customWidth="1"/>
    <x:col min="13" max="13" width="24.85546875" customWidth="1"/>
    <x:col min="14" max="14" width="9.140625" customWidth="1"/>
    <x:col min="16" max="16" width="10.140625" customWidth="1"/>
  </x:cols>
  <x:sheetData>
    <x:row r="1" ht="15.75"/>
    <x:row r="2" ht="15.75">
      <x:c r="B2" s="51" t="s">
        <x:v>0</x:v>
      </x:c>
      <x:c r="C2" s="52"/>
      <x:c r="E2" s="49" t="s">
        <x:v>1</x:v>
      </x:c>
      <x:c r="F2" s="50"/>
    </x:row>
    <x:row r="3" ht="15.75">
      <x:c r="B3" s="7" t="s">
        <x:v>2</x:v>
      </x:c>
      <x:c r="C3" s="8">
        <x:v>200</x:v>
      </x:c>
      <x:c r="E3" s="11" t="s">
        <x:v>3</x:v>
      </x:c>
      <x:c r="F3" s="16">
        <x:f>C3 - 2*F4</x:f>
        <x:v>95.525747232810133</x:v>
      </x:c>
    </x:row>
    <x:row r="4" ht="15.75">
      <x:c r="B4" s="53" t="s">
        <x:v>4</x:v>
      </x:c>
      <x:c r="C4" s="54"/>
      <x:c r="E4" s="6" t="s">
        <x:v>5</x:v>
      </x:c>
      <x:c r="F4" s="10">
        <x:f> (C3 * C25) / (2*C26)</x:f>
        <x:v>52.237126383594934</x:v>
      </x:c>
    </x:row>
    <x:row r="5">
      <x:c r="B5" s="1" t="s">
        <x:v>6</x:v>
      </x:c>
      <x:c r="C5" s="2">
        <x:v>34</x:v>
      </x:c>
      <x:c r="E5" s="62" t="s">
        <x:v>7</x:v>
      </x:c>
      <x:c r="F5" s="62"/>
    </x:row>
    <x:row r="6">
      <x:c r="B6" s="5" t="s">
        <x:v>8</x:v>
      </x:c>
      <x:c r="C6" s="3">
        <x:v>56</x:v>
      </x:c>
      <x:c r="E6" s="33" t="s">
        <x:v>9</x:v>
      </x:c>
    </x:row>
    <x:row r="7">
      <x:c r="B7" s="1" t="s">
        <x:v>10</x:v>
      </x:c>
      <x:c r="C7" s="2">
        <x:v>68</x:v>
      </x:c>
      <x:c r="E7" s="33" t="s">
        <x:v>11</x:v>
      </x:c>
      <x:c r="F7" s="14"/>
    </x:row>
    <x:row r="8">
      <x:c r="B8" s="1" t="s">
        <x:v>12</x:v>
      </x:c>
      <x:c r="C8" s="2">
        <x:v>55</x:v>
      </x:c>
      <x:c r="G8" s="18"/>
    </x:row>
    <x:row r="9" ht="15.75">
      <x:c r="B9" s="1" t="s">
        <x:v>13</x:v>
      </x:c>
      <x:c r="C9" s="2">
        <x:v>57</x:v>
      </x:c>
      <x:c r="E9" s="26" t="s">
        <x:v>14</x:v>
      </x:c>
      <x:c r="G9" s="17"/>
    </x:row>
    <x:row r="10" ht="15.75">
      <x:c r="B10" s="1" t="s">
        <x:v>15</x:v>
      </x:c>
      <x:c r="C10" s="2">
        <x:v>34</x:v>
      </x:c>
      <x:c r="E10" s="59" t="s">
        <x:v>16</x:v>
      </x:c>
      <x:c r="F10" s="60"/>
      <x:c r="G10" s="12"/>
    </x:row>
    <x:row r="11">
      <x:c r="B11" s="1" t="s">
        <x:v>17</x:v>
      </x:c>
      <x:c r="C11" s="2">
        <x:v>6</x:v>
      </x:c>
      <x:c r="E11" s="5" t="s">
        <x:v>18</x:v>
      </x:c>
      <x:c r="F11" s="19">
        <x:f>-F12*(COS(RADIANS(16))) / COS(RADIANS(34))</x:f>
        <x:v>296.94706373661461</x:v>
      </x:c>
      <x:c r="G11" s="13"/>
    </x:row>
    <x:row r="12">
      <x:c r="B12" s="5" t="s">
        <x:v>19</x:v>
      </x:c>
      <x:c r="C12" s="3">
        <x:v>16</x:v>
      </x:c>
      <x:c r="E12" s="20" t="s">
        <x:v>20</x:v>
      </x:c>
      <x:c r="F12" s="34">
        <x:f>-F3 / 0.373</x:f>
        <x:v>-256.10119901557675</x:v>
      </x:c>
    </x:row>
    <x:row r="13">
      <x:c r="B13" s="1" t="s">
        <x:v>21</x:v>
      </x:c>
      <x:c r="C13" s="2">
        <x:v>74</x:v>
      </x:c>
      <x:c r="E13" s="5" t="s">
        <x:v>22</x:v>
      </x:c>
      <x:c r="F13" s="34">
        <x:f> (F10* COS(RADIANS(34)) - F15*COS(RADIANS(6))) / COS(RADIANS(74))</x:f>
        <x:v>-549.497572964494</x:v>
      </x:c>
    </x:row>
    <x:row r="14" ht="15.75">
      <x:c r="B14" s="1" t="s">
        <x:v>23</x:v>
      </x:c>
      <x:c r="C14" s="2">
        <x:v>16</x:v>
      </x:c>
      <x:c r="E14" s="5" t="s">
        <x:v>24</x:v>
      </x:c>
      <x:c r="F14" s="34">
        <x:f>(F15*COS(RADIANS(6)))/2</x:f>
        <x:v>75.731029019895843</x:v>
      </x:c>
    </x:row>
    <x:row r="15" ht="15.75">
      <x:c r="B15" s="53" t="s">
        <x:v>25</x:v>
      </x:c>
      <x:c r="C15" s="54"/>
      <x:c r="E15" s="6" t="s">
        <x:v>26</x:v>
      </x:c>
      <x:c r="F15" s="35">
        <x:f>((-F11 * SIN(RADIANS(34)) - F11 * COS(RADIANS(34)) * TAN(RADIANS(74))) / (SIN(RADIANS(6)) - COS(RADIANS(6)) * TAN(RADIANS(74)))) / 2</x:f>
        <x:v>152.29635339874042</x:v>
      </x:c>
    </x:row>
    <x:row r="16">
      <x:c r="B16" s="1" t="s">
        <x:v>27</x:v>
      </x:c>
      <x:c r="C16" s="2">
        <x:v>20</x:v>
      </x:c>
      <x:c r="F16" s="14"/>
    </x:row>
    <x:row r="17" ht="15.75">
      <x:c r="B17" s="1" t="s">
        <x:v>28</x:v>
      </x:c>
      <x:c r="C17" s="2">
        <x:v>24</x:v>
      </x:c>
      <x:c r="E17" s="26" t="s">
        <x:v>29</x:v>
      </x:c>
      <x:c r="F17" s="14"/>
    </x:row>
    <x:row r="18" ht="15" customHeight="1">
      <x:c r="B18" s="1" t="s">
        <x:v>30</x:v>
      </x:c>
      <x:c r="C18" s="2">
        <x:v>17</x:v>
      </x:c>
      <x:c r="E18" s="27" t="s">
        <x:v>31</x:v>
      </x:c>
      <x:c r="F18" s="28">
        <x:v>50800</x:v>
      </x:c>
    </x:row>
    <x:row r="19" ht="15.75">
      <x:c r="B19" s="1" t="s">
        <x:v>32</x:v>
      </x:c>
      <x:c r="C19" s="2">
        <x:v>15</x:v>
      </x:c>
      <x:c r="E19" s="57" t="s">
        <x:v>33</x:v>
      </x:c>
      <x:c r="F19" s="58"/>
      <x:c r="G19" s="32" t="s">
        <x:v>34</x:v>
      </x:c>
      <x:c r="H19" s="31" t="s">
        <x:v>35</x:v>
      </x:c>
    </x:row>
    <x:row r="20" ht="15.75">
      <x:c r="B20" s="1" t="s">
        <x:v>36</x:v>
      </x:c>
      <x:c r="C20" s="2">
        <x:v>18</x:v>
      </x:c>
      <x:c r="E20" s="1" t="s">
        <x:v>37</x:v>
      </x:c>
      <x:c r="F20" s="36">
        <x:f>F18*C32</x:f>
        <x:v>6096</x:v>
      </x:c>
      <x:c r="G20" s="38">
        <x:f>F11 / C32</x:f>
        <x:v>2474.5588644717886</x:v>
      </x:c>
      <x:c r="H20" s="40">
        <x:f>F20/ ABS(F11)</x:f>
        <x:v>20.528911528173975</x:v>
      </x:c>
    </x:row>
    <x:row r="21" ht="15.75">
      <x:c r="B21" s="55" t="s">
        <x:v>38</x:v>
      </x:c>
      <x:c r="C21" s="56"/>
      <x:c r="E21" s="1" t="s">
        <x:v>39</x:v>
      </x:c>
      <x:c r="F21" s="29">
        <x:f>F18 * C28</x:f>
        <x:v>5588</x:v>
      </x:c>
      <x:c r="G21" s="38">
        <x:f>F12 / C28</x:f>
        <x:v>-2328.1927183234252</x:v>
      </x:c>
      <x:c r="H21" s="40">
        <x:f>F21/ ABS(F12)</x:f>
        <x:v>21.819499562983783</x:v>
      </x:c>
    </x:row>
    <x:row r="22" ht="15" customHeight="1">
      <x:c r="B22" s="1" t="s">
        <x:v>40</x:v>
      </x:c>
      <x:c r="C22" s="15">
        <x:f>C17 * COS(RADIANS(C10))</x:f>
        <x:v>19.896901741320999</x:v>
      </x:c>
      <x:c r="E22" s="1" t="s">
        <x:v>41</x:v>
      </x:c>
      <x:c r="F22" s="29">
        <x:f> F18 * C29</x:f>
        <x:v>3556.0000000000005</x:v>
      </x:c>
      <x:c r="G22" s="38">
        <x:f>F13 / C29</x:f>
        <x:v>-7849.9653280641996</x:v>
      </x:c>
      <x:c r="H22" s="40">
        <x:f>F22/ ABS(F13)</x:f>
        <x:v>6.4713661623939016</x:v>
      </x:c>
    </x:row>
    <x:row r="23" ht="15.75" customHeight="1">
      <x:c r="B23" s="1" t="s">
        <x:v>42</x:v>
      </x:c>
      <x:c r="C23" s="9">
        <x:f>C19*COS(RADIANS(C13))</x:f>
        <x:v>4.1345603372549871</x:v>
      </x:c>
      <x:c r="E23" s="1" t="s">
        <x:v>43</x:v>
      </x:c>
      <x:c r="F23" s="29">
        <x:f> F18 *C30</x:f>
        <x:v>2540</x:v>
      </x:c>
      <x:c r="G23" s="38">
        <x:f>F14 / C30</x:f>
        <x:v>1514.6205803979167</x:v>
      </x:c>
      <x:c r="H23" s="40">
        <x:f>F23/ ABS(F14)</x:f>
        <x:v>33.539752897490651</x:v>
      </x:c>
    </x:row>
    <x:row r="24" ht="15.75" customHeight="1">
      <x:c r="B24" s="1" t="s">
        <x:v>44</x:v>
      </x:c>
      <x:c r="C24" s="15">
        <x:f>C18 * COS(RADIANS(C11))</x:f>
        <x:v>16.906872221260645</x:v>
      </x:c>
      <x:c r="E24" s="4" t="s">
        <x:v>45</x:v>
      </x:c>
      <x:c r="F24" s="37">
        <x:f>F18 * C33</x:f>
        <x:v>1524</x:v>
      </x:c>
      <x:c r="G24" s="39">
        <x:f>F15 / C33</x:f>
        <x:v>5076.5451132913477</x:v>
      </x:c>
      <x:c r="H24" s="41">
        <x:f>F24/ ABS(F15)</x:f>
        <x:v>10.00680558653878</x:v>
      </x:c>
    </x:row>
    <x:row r="25" ht="15" customHeight="1">
      <x:c r="B25" s="1" t="s">
        <x:v>46</x:v>
      </x:c>
      <x:c r="C25" s="15">
        <x:f>C16 * COS(RADIANS(C12))</x:f>
        <x:v>19.225233918766378</x:v>
      </x:c>
      <x:c r="E25" s="61" t="s">
        <x:v>47</x:v>
      </x:c>
      <x:c r="F25" s="61"/>
      <x:c r="H25" s="42" t="s">
        <x:v>48</x:v>
      </x:c>
    </x:row>
    <x:row r="26" ht="15.75">
      <x:c r="B26" s="1" t="s">
        <x:v>49</x:v>
      </x:c>
      <x:c r="C26" s="15">
        <x:f>C22 + C24</x:f>
        <x:v>36.803773962581644</x:v>
      </x:c>
    </x:row>
    <x:row r="27" ht="15.75">
      <x:c r="B27" s="53" t="s">
        <x:v>50</x:v>
      </x:c>
      <x:c r="C27" s="54"/>
      <x:c r="E27" s="43" t="s">
        <x:v>51</x:v>
      </x:c>
      <x:c r="F27" s="43"/>
    </x:row>
    <x:row r="28" ht="15" customHeight="1">
      <x:c r="B28" s="21" t="s">
        <x:v>39</x:v>
      </x:c>
      <x:c r="C28" s="22">
        <x:v>0.11</x:v>
      </x:c>
      <x:c r="E28" s="11" t="s">
        <x:v>52</x:v>
      </x:c>
      <x:c r="F28" s="44">
        <x:v>60900</x:v>
      </x:c>
    </x:row>
    <x:row r="29" ht="15" customHeight="1">
      <x:c r="B29" s="1" t="s">
        <x:v>41</x:v>
      </x:c>
      <x:c r="C29" s="2">
        <x:v>7.0000000000000007E-2</x:v>
      </x:c>
      <x:c r="E29" s="5" t="s">
        <x:v>53</x:v>
      </x:c>
      <x:c r="F29" s="63">
        <x:f> 0.91*0.91*0.85*0.5 * F28</x:f>
        <x:v>21433.29825</x:v>
      </x:c>
      <x:c r="I29" s="30"/>
    </x:row>
    <x:row r="30" ht="15" customHeight="1">
      <x:c r="B30" s="1" t="s">
        <x:v>43</x:v>
      </x:c>
      <x:c r="C30" s="2">
        <x:v>0.05</x:v>
      </x:c>
      <x:c r="E30" s="65" t="s">
        <x:v>54</x:v>
      </x:c>
      <x:c r="F30" s="66">
        <x:v>0</x:v>
      </x:c>
    </x:row>
    <x:row r="31" ht="15.75" customHeight="1">
      <x:c r="B31" s="1" t="s">
        <x:v>55</x:v>
      </x:c>
      <x:c r="C31" s="2">
        <x:v>7.0000000000000007E-2</x:v>
      </x:c>
      <x:c r="E31" s="64" t="s">
        <x:v>56</x:v>
      </x:c>
      <x:c r="F31" s="68" t="s">
        <x:v>57</x:v>
      </x:c>
      <x:c r="G31" s="32" t="s">
        <x:v>58</x:v>
      </x:c>
    </x:row>
    <x:row r="32" ht="15" customHeight="1">
      <x:c r="B32" s="1" t="s">
        <x:v>37</x:v>
      </x:c>
      <x:c r="C32" s="2">
        <x:v>0.12</x:v>
      </x:c>
      <x:c r="E32" s="21" t="s">
        <x:v>37</x:v>
      </x:c>
      <x:c r="F32" s="69">
        <x:f>G20</x:f>
        <x:v>2474.5588644717886</x:v>
      </x:c>
      <x:c r="G32" s="67">
        <x:f>IF(F32&gt;0, 1 / ( ((F32 - $F$30) / (2 * $F$29)) + ((F32 +$F$30) / (2 * $F$28)) ), "Member Not in Tension")</x:f>
        <x:v>12.813358961992151</x:v>
      </x:c>
    </x:row>
    <x:row r="33" ht="15.75" customHeight="1">
      <x:c r="B33" s="4" t="s">
        <x:v>45</x:v>
      </x:c>
      <x:c r="C33" s="23">
        <x:v>0.03</x:v>
      </x:c>
      <x:c r="D33" s="18"/>
      <x:c r="E33" s="1" t="s">
        <x:v>39</x:v>
      </x:c>
      <x:c r="F33" s="72">
        <x:f t="shared" ref="F33:F36" si="0">G21</x:f>
        <x:v>-2328.1927183234252</x:v>
      </x:c>
      <x:c r="G33" s="70" t="str">
        <x:f t="shared" ref="G33:G36" si="1">IF(F33&gt;0, 1 / ( ((F33 - $F$30) / (2 * $F$29)) + ((F33 +$F$30) / (2 * $F$28)) ), "Member Not in Tension")</x:f>
        <x:v>Member Not in Tension</x:v>
      </x:c>
    </x:row>
    <x:row r="34" ht="15.75" customHeight="1">
      <x:c r="E34" s="1" t="s">
        <x:v>41</x:v>
      </x:c>
      <x:c r="F34" s="72">
        <x:f t="shared" si="0"/>
        <x:v>-7849.9653280641996</x:v>
      </x:c>
      <x:c r="G34" s="70" t="str">
        <x:f t="shared" si="1"/>
        <x:v>Member Not in Tension</x:v>
      </x:c>
    </x:row>
    <x:row r="35" ht="15.75" customHeight="1">
      <x:c r="B35" s="24" t="s">
        <x:v>59</x:v>
      </x:c>
      <x:c r="C35" s="25"/>
      <x:c r="E35" s="1" t="s">
        <x:v>43</x:v>
      </x:c>
      <x:c r="F35" s="72">
        <x:f t="shared" si="0"/>
        <x:v>1514.6205803979167</x:v>
      </x:c>
      <x:c r="G35" s="67">
        <x:f t="shared" si="1"/>
        <x:v>20.93422696971847</x:v>
      </x:c>
    </x:row>
    <x:row r="36" ht="15.75">
      <x:c r="B36" s="11" t="s">
        <x:v>60</x:v>
      </x:c>
      <x:c r="C36" s="45" t="str">
        <x:f>IF(MIN(H20:H24)&lt;=1, C3, "Does Not Yield")</x:f>
        <x:v>Does Not Yield</x:v>
      </x:c>
      <x:c r="E36" s="4" t="s">
        <x:v>45</x:v>
      </x:c>
      <x:c r="F36" s="73">
        <x:f t="shared" si="0"/>
        <x:v>5076.5451132913477</x:v>
      </x:c>
      <x:c r="G36" s="71">
        <x:f t="shared" si="1"/>
        <x:v>6.2458641251982092</x:v>
      </x:c>
    </x:row>
    <x:row r="37" ht="15.75" customHeight="1">
      <x:c r="B37" s="6" t="s">
        <x:v>61</x:v>
      </x:c>
      <x:c r="C37" s="46" t="str">
        <x:f>IF(MIN(G32:G36)&lt;=1, C3, "No Fatigue Failure")</x:f>
        <x:v>No Fatigue Failure</x:v>
      </x:c>
      <x:c r="E37" s="47" t="s">
        <x:v>62</x:v>
      </x:c>
      <x:c r="F37" s="48" t="str">
        <x:f>INDEX(E32:E36, MATCH(MIN(G32:G36), G32:G36, 0))</x:f>
        <x:v>Chain Stays</x:v>
      </x:c>
      <x:c r="G37" s="74" t="s">
        <x:v>63</x:v>
      </x:c>
      <x:c r="H37" s="75"/>
    </x:row>
    <x:row r="40" ht="15.75" customHeight="1"/>
    <x:row r="43">
      <x:c r="H43">
        <x:v>551</x:v>
      </x:c>
    </x:row>
  </x:sheetData>
  <x:mergeCells>
    <x:mergeCell ref="E19:F19"/>
    <x:mergeCell ref="B21:C21"/>
    <x:mergeCell ref="E25:F25"/>
    <x:mergeCell ref="B27:C27"/>
    <x:mergeCell ref="G37:H37"/>
    <x:mergeCell ref="B2:C2"/>
    <x:mergeCell ref="E2:F2"/>
    <x:mergeCell ref="B4:C4"/>
    <x:mergeCell ref="E5:F5"/>
    <x:mergeCell ref="E10:F10"/>
    <x:mergeCell ref="B15:C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9" tint="0.79998"/>
  </x:sheetPr>
  <x:sheetFormatPr defaultRowHeight="15"/>
  <x:cols>
    <x:col min="2" max="2" width="34.42578125" customWidth="1"/>
    <x:col min="3" max="3" width="18.140625" customWidth="1"/>
    <x:col min="4" max="4" width="9.5703125" customWidth="1"/>
    <x:col min="5" max="5" width="25" customWidth="1"/>
    <x:col min="6" max="6" width="20" customWidth="1"/>
    <x:col min="7" max="7" width="23" customWidth="1"/>
    <x:col min="8" max="8" width="20.7109375" customWidth="1"/>
    <x:col min="9" max="9" width="26.42578125" customWidth="1"/>
    <x:col min="10" max="11" width="26.85546875" customWidth="1"/>
    <x:col min="12" max="12" width="20.28515625" customWidth="1"/>
    <x:col min="13" max="13" width="24.85546875" customWidth="1"/>
    <x:col min="14" max="14" width="9.140625" customWidth="1"/>
    <x:col min="16" max="16" width="10.140625" customWidth="1"/>
  </x:cols>
  <x:sheetData>
    <x:row r="1" ht="15.75"/>
    <x:row r="2" ht="15.75">
      <x:c r="B2" s="51" t="s">
        <x:v>0</x:v>
      </x:c>
      <x:c r="C2" s="52"/>
      <x:c r="E2" s="49" t="s">
        <x:v>1</x:v>
      </x:c>
      <x:c r="F2" s="50"/>
    </x:row>
    <x:row r="3" ht="15.75">
      <x:c r="B3" s="7" t="s">
        <x:v>2</x:v>
      </x:c>
      <x:c r="C3" s="8">
        <x:v>1250</x:v>
      </x:c>
      <x:c r="E3" s="11" t="s">
        <x:v>3</x:v>
      </x:c>
      <x:c r="F3" s="16">
        <x:f>C3 - 2*F4</x:f>
        <x:v>597.03592020506335</x:v>
      </x:c>
    </x:row>
    <x:row r="4" ht="15.75">
      <x:c r="B4" s="53" t="s">
        <x:v>4</x:v>
      </x:c>
      <x:c r="C4" s="54"/>
      <x:c r="E4" s="6" t="s">
        <x:v>5</x:v>
      </x:c>
      <x:c r="F4" s="10">
        <x:f> (C3 * C25) / (2*C26)</x:f>
        <x:v>326.48203989746833</x:v>
      </x:c>
    </x:row>
    <x:row r="5">
      <x:c r="B5" s="1" t="s">
        <x:v>6</x:v>
      </x:c>
      <x:c r="C5" s="2">
        <x:v>34</x:v>
      </x:c>
      <x:c r="E5" s="62" t="s">
        <x:v>7</x:v>
      </x:c>
      <x:c r="F5" s="62"/>
    </x:row>
    <x:row r="6">
      <x:c r="B6" s="5" t="s">
        <x:v>8</x:v>
      </x:c>
      <x:c r="C6" s="3">
        <x:v>56</x:v>
      </x:c>
      <x:c r="E6" s="33" t="s">
        <x:v>9</x:v>
      </x:c>
    </x:row>
    <x:row r="7">
      <x:c r="B7" s="1" t="s">
        <x:v>10</x:v>
      </x:c>
      <x:c r="C7" s="2">
        <x:v>68</x:v>
      </x:c>
      <x:c r="E7" s="33" t="s">
        <x:v>11</x:v>
      </x:c>
      <x:c r="F7" s="14"/>
    </x:row>
    <x:row r="8">
      <x:c r="B8" s="1" t="s">
        <x:v>12</x:v>
      </x:c>
      <x:c r="C8" s="2">
        <x:v>55</x:v>
      </x:c>
      <x:c r="G8" s="18"/>
    </x:row>
    <x:row r="9" ht="15.75">
      <x:c r="B9" s="1" t="s">
        <x:v>13</x:v>
      </x:c>
      <x:c r="C9" s="2">
        <x:v>57</x:v>
      </x:c>
      <x:c r="E9" s="26" t="s">
        <x:v>14</x:v>
      </x:c>
      <x:c r="G9" s="17"/>
    </x:row>
    <x:row r="10" ht="15.75">
      <x:c r="B10" s="1" t="s">
        <x:v>15</x:v>
      </x:c>
      <x:c r="C10" s="2">
        <x:v>34</x:v>
      </x:c>
      <x:c r="E10" s="59" t="s">
        <x:v>16</x:v>
      </x:c>
      <x:c r="F10" s="60"/>
      <x:c r="G10" s="12"/>
    </x:row>
    <x:row r="11">
      <x:c r="B11" s="1" t="s">
        <x:v>17</x:v>
      </x:c>
      <x:c r="C11" s="2">
        <x:v>6</x:v>
      </x:c>
      <x:c r="E11" s="5" t="s">
        <x:v>18</x:v>
      </x:c>
      <x:c r="F11" s="19">
        <x:f>-F12*(COS(RADIANS(16))) / COS(RADIANS(34))</x:f>
        <x:v>1855.9191483538418</x:v>
      </x:c>
      <x:c r="G11" s="13"/>
    </x:row>
    <x:row r="12">
      <x:c r="B12" s="5" t="s">
        <x:v>19</x:v>
      </x:c>
      <x:c r="C12" s="3">
        <x:v>16</x:v>
      </x:c>
      <x:c r="E12" s="20" t="s">
        <x:v>20</x:v>
      </x:c>
      <x:c r="F12" s="34">
        <x:f>-F3 / 0.373</x:f>
        <x:v>-1600.6324938473549</x:v>
      </x:c>
    </x:row>
    <x:row r="13">
      <x:c r="B13" s="1" t="s">
        <x:v>21</x:v>
      </x:c>
      <x:c r="C13" s="2">
        <x:v>74</x:v>
      </x:c>
      <x:c r="E13" s="5" t="s">
        <x:v>22</x:v>
      </x:c>
      <x:c r="F13" s="34">
        <x:f> (F10* COS(RADIANS(34)) - F15*COS(RADIANS(6))) / COS(RADIANS(74))</x:f>
        <x:v>-3434.3598310280881</x:v>
      </x:c>
    </x:row>
    <x:row r="14" ht="15.75">
      <x:c r="B14" s="1" t="s">
        <x:v>23</x:v>
      </x:c>
      <x:c r="C14" s="2">
        <x:v>16</x:v>
      </x:c>
      <x:c r="E14" s="5" t="s">
        <x:v>24</x:v>
      </x:c>
      <x:c r="F14" s="34">
        <x:f>(F15*COS(RADIANS(6)))/2</x:f>
        <x:v>473.31893137434912</x:v>
      </x:c>
    </x:row>
    <x:row r="15" ht="15.75">
      <x:c r="B15" s="53" t="s">
        <x:v>25</x:v>
      </x:c>
      <x:c r="C15" s="54"/>
      <x:c r="E15" s="6" t="s">
        <x:v>26</x:v>
      </x:c>
      <x:c r="F15" s="35">
        <x:f>((-F11 * SIN(RADIANS(34)) - F11 * COS(RADIANS(34)) * TAN(RADIANS(74))) / (SIN(RADIANS(6)) - COS(RADIANS(6)) * TAN(RADIANS(74)))) / 2</x:f>
        <x:v>951.8522087421278</x:v>
      </x:c>
    </x:row>
    <x:row r="16">
      <x:c r="B16" s="1" t="s">
        <x:v>27</x:v>
      </x:c>
      <x:c r="C16" s="2">
        <x:v>20</x:v>
      </x:c>
      <x:c r="F16" s="14"/>
    </x:row>
    <x:row r="17" ht="15.75">
      <x:c r="B17" s="1" t="s">
        <x:v>28</x:v>
      </x:c>
      <x:c r="C17" s="2">
        <x:v>24</x:v>
      </x:c>
      <x:c r="E17" s="26" t="s">
        <x:v>29</x:v>
      </x:c>
      <x:c r="F17" s="14"/>
    </x:row>
    <x:row r="18" ht="15" customHeight="1">
      <x:c r="B18" s="1" t="s">
        <x:v>30</x:v>
      </x:c>
      <x:c r="C18" s="2">
        <x:v>17</x:v>
      </x:c>
      <x:c r="E18" s="27" t="s">
        <x:v>31</x:v>
      </x:c>
      <x:c r="F18" s="28">
        <x:v>50800</x:v>
      </x:c>
    </x:row>
    <x:row r="19" ht="15.75">
      <x:c r="B19" s="1" t="s">
        <x:v>32</x:v>
      </x:c>
      <x:c r="C19" s="2">
        <x:v>15</x:v>
      </x:c>
      <x:c r="E19" s="57" t="s">
        <x:v>33</x:v>
      </x:c>
      <x:c r="F19" s="58"/>
      <x:c r="G19" s="32" t="s">
        <x:v>34</x:v>
      </x:c>
      <x:c r="H19" s="31" t="s">
        <x:v>35</x:v>
      </x:c>
    </x:row>
    <x:row r="20" ht="15.75">
      <x:c r="B20" s="1" t="s">
        <x:v>36</x:v>
      </x:c>
      <x:c r="C20" s="2">
        <x:v>18</x:v>
      </x:c>
      <x:c r="E20" s="1" t="s">
        <x:v>37</x:v>
      </x:c>
      <x:c r="F20" s="36">
        <x:f>F18*C32</x:f>
        <x:v>5080</x:v>
      </x:c>
      <x:c r="G20" s="38">
        <x:f>F11 / C32</x:f>
        <x:v>18559.191483538416</x:v>
      </x:c>
      <x:c r="H20" s="40">
        <x:f>F20/ ABS(F11)</x:f>
        <x:v>2.7371882037565292</x:v>
      </x:c>
    </x:row>
    <x:row r="21" ht="15.75">
      <x:c r="B21" s="55" t="s">
        <x:v>38</x:v>
      </x:c>
      <x:c r="C21" s="56"/>
      <x:c r="E21" s="1" t="s">
        <x:v>39</x:v>
      </x:c>
      <x:c r="F21" s="29">
        <x:f>F18 * C28</x:f>
        <x:v>4445</x:v>
      </x:c>
      <x:c r="G21" s="38">
        <x:f>F12 / C28</x:f>
        <x:v>-18292.942786826916</x:v>
      </x:c>
      <x:c r="H21" s="40">
        <x:f>F21/ ABS(F12)</x:f>
        <x:v>2.7770272171070265</x:v>
      </x:c>
    </x:row>
    <x:row r="22" ht="15" customHeight="1">
      <x:c r="B22" s="1" t="s">
        <x:v>40</x:v>
      </x:c>
      <x:c r="C22" s="15">
        <x:f>C17 * COS(RADIANS(C10))</x:f>
        <x:v>19.896901741320999</x:v>
      </x:c>
      <x:c r="E22" s="1" t="s">
        <x:v>41</x:v>
      </x:c>
      <x:c r="F22" s="29">
        <x:f> F18 * C29</x:f>
        <x:v>3556.0000000000005</x:v>
      </x:c>
      <x:c r="G22" s="38">
        <x:f>F13 / C29</x:f>
        <x:v>-49062.283300401257</x:v>
      </x:c>
      <x:c r="H22" s="40">
        <x:f>F22/ ABS(F13)</x:f>
        <x:v>1.0354185859830241</x:v>
      </x:c>
    </x:row>
    <x:row r="23" ht="15.75" customHeight="1">
      <x:c r="B23" s="1" t="s">
        <x:v>42</x:v>
      </x:c>
      <x:c r="C23" s="9">
        <x:f>C19*COS(RADIANS(C13))</x:f>
        <x:v>4.1345603372549871</x:v>
      </x:c>
      <x:c r="E23" s="1" t="s">
        <x:v>43</x:v>
      </x:c>
      <x:c r="F23" s="29">
        <x:f> F18 *C30</x:f>
        <x:v>2540</x:v>
      </x:c>
      <x:c r="G23" s="38">
        <x:f>F14 / C30</x:f>
        <x:v>9466.3786274869817</x:v>
      </x:c>
      <x:c r="H23" s="40">
        <x:f>F23/ ABS(F14)</x:f>
        <x:v>5.3663604635985029</x:v>
      </x:c>
    </x:row>
    <x:row r="24" ht="15.75" customHeight="1">
      <x:c r="B24" s="1" t="s">
        <x:v>44</x:v>
      </x:c>
      <x:c r="C24" s="15">
        <x:f>C18 * COS(RADIANS(C11))</x:f>
        <x:v>16.906872221260645</x:v>
      </x:c>
      <x:c r="E24" s="4" t="s">
        <x:v>45</x:v>
      </x:c>
      <x:c r="F24" s="37">
        <x:f>F18 * C33</x:f>
        <x:v>1524</x:v>
      </x:c>
      <x:c r="G24" s="39">
        <x:f>F15 / C33</x:f>
        <x:v>31728.406958070929</x:v>
      </x:c>
      <x:c r="H24" s="41">
        <x:f>F24/ ABS(F15)</x:f>
        <x:v>1.6010888938462045</x:v>
      </x:c>
    </x:row>
    <x:row r="25" ht="15" customHeight="1">
      <x:c r="B25" s="1" t="s">
        <x:v>46</x:v>
      </x:c>
      <x:c r="C25" s="15">
        <x:f>C16 * COS(RADIANS(C12))</x:f>
        <x:v>19.225233918766378</x:v>
      </x:c>
      <x:c r="E25" s="61" t="s">
        <x:v>47</x:v>
      </x:c>
      <x:c r="F25" s="61"/>
      <x:c r="H25" s="42" t="s">
        <x:v>48</x:v>
      </x:c>
    </x:row>
    <x:row r="26" ht="15.75">
      <x:c r="B26" s="1" t="s">
        <x:v>49</x:v>
      </x:c>
      <x:c r="C26" s="15">
        <x:f>C22 + C24</x:f>
        <x:v>36.803773962581644</x:v>
      </x:c>
    </x:row>
    <x:row r="27" ht="15.75">
      <x:c r="B27" s="53" t="s">
        <x:v>50</x:v>
      </x:c>
      <x:c r="C27" s="54"/>
      <x:c r="E27" s="43" t="s">
        <x:v>51</x:v>
      </x:c>
      <x:c r="F27" s="43"/>
    </x:row>
    <x:row r="28" ht="15" customHeight="1">
      <x:c r="B28" s="21" t="s">
        <x:v>39</x:v>
      </x:c>
      <x:c r="C28" s="22">
        <x:v>8.7499999999999994E-2</x:v>
      </x:c>
      <x:c r="E28" s="11" t="s">
        <x:v>52</x:v>
      </x:c>
      <x:c r="F28" s="44">
        <x:v>60900</x:v>
      </x:c>
    </x:row>
    <x:row r="29" ht="15" customHeight="1">
      <x:c r="B29" s="1" t="s">
        <x:v>41</x:v>
      </x:c>
      <x:c r="C29" s="2">
        <x:v>7.0000000000000007E-2</x:v>
      </x:c>
      <x:c r="E29" s="5" t="s">
        <x:v>53</x:v>
      </x:c>
      <x:c r="F29" s="63">
        <x:f> 0.91*0.91*0.85*0.5 * F28</x:f>
        <x:v>21433.29825</x:v>
      </x:c>
      <x:c r="I29" s="30"/>
    </x:row>
    <x:row r="30" ht="15" customHeight="1">
      <x:c r="B30" s="1" t="s">
        <x:v>43</x:v>
      </x:c>
      <x:c r="C30" s="2">
        <x:v>0.05</x:v>
      </x:c>
      <x:c r="E30" s="65" t="s">
        <x:v>54</x:v>
      </x:c>
      <x:c r="F30" s="66">
        <x:v>0</x:v>
      </x:c>
    </x:row>
    <x:row r="31" ht="15.75" customHeight="1">
      <x:c r="B31" s="1" t="s">
        <x:v>55</x:v>
      </x:c>
      <x:c r="C31" s="2">
        <x:v>7.0000000000000007E-2</x:v>
      </x:c>
      <x:c r="E31" s="64" t="s">
        <x:v>56</x:v>
      </x:c>
      <x:c r="F31" s="68" t="s">
        <x:v>57</x:v>
      </x:c>
      <x:c r="G31" s="32" t="s">
        <x:v>58</x:v>
      </x:c>
    </x:row>
    <x:row r="32" ht="15" customHeight="1">
      <x:c r="B32" s="1" t="s">
        <x:v>37</x:v>
      </x:c>
      <x:c r="C32" s="2">
        <x:v>0.1</x:v>
      </x:c>
      <x:c r="E32" s="21" t="s">
        <x:v>37</x:v>
      </x:c>
      <x:c r="F32" s="69">
        <x:f>G20</x:f>
        <x:v>18559.191483538416</x:v>
      </x:c>
      <x:c r="G32" s="67">
        <x:f>IF(F32&gt;0, 1 / ( ((F32 - $F$30) / (2 * $F$29)) + ((F32 +$F$30) / (2 * $F$28)) ), "Member Not in Tension")</x:f>
        <x:v>1.7084478615989533</x:v>
      </x:c>
    </x:row>
    <x:row r="33" ht="15.75" customHeight="1">
      <x:c r="B33" s="4" t="s">
        <x:v>45</x:v>
      </x:c>
      <x:c r="C33" s="23">
        <x:v>0.03</x:v>
      </x:c>
      <x:c r="D33" s="18"/>
      <x:c r="E33" s="1" t="s">
        <x:v>39</x:v>
      </x:c>
      <x:c r="F33" s="72">
        <x:f t="shared" ref="F33:F36" si="0">G21</x:f>
        <x:v>-18292.942786826916</x:v>
      </x:c>
      <x:c r="G33" s="70" t="str">
        <x:f t="shared" ref="G33:G36" si="1">IF(F33&gt;0, 1 / ( ((F33 - $F$30) / (2 * $F$29)) + ((F33 +$F$30) / (2 * $F$28)) ), "Member Not in Tension")</x:f>
        <x:v>Member Not in Tension</x:v>
      </x:c>
    </x:row>
    <x:row r="34" ht="15.75" customHeight="1">
      <x:c r="E34" s="1" t="s">
        <x:v>41</x:v>
      </x:c>
      <x:c r="F34" s="72">
        <x:f t="shared" si="0"/>
        <x:v>-49062.283300401257</x:v>
      </x:c>
      <x:c r="G34" s="70" t="str">
        <x:f t="shared" si="1"/>
        <x:v>Member Not in Tension</x:v>
      </x:c>
    </x:row>
    <x:row r="35" ht="15.75" customHeight="1">
      <x:c r="B35" s="24" t="s">
        <x:v>59</x:v>
      </x:c>
      <x:c r="C35" s="25"/>
      <x:c r="E35" s="1" t="s">
        <x:v>43</x:v>
      </x:c>
      <x:c r="F35" s="72">
        <x:f t="shared" si="0"/>
        <x:v>9466.3786274869817</x:v>
      </x:c>
      <x:c r="G35" s="67">
        <x:f t="shared" si="1"/>
        <x:v>3.3494763151549547</x:v>
      </x:c>
    </x:row>
    <x:row r="36" ht="15.75">
      <x:c r="B36" s="11" t="s">
        <x:v>60</x:v>
      </x:c>
      <x:c r="C36" s="45" t="str">
        <x:f>IF(MIN(H20:H24)&lt;=1, C3, "Does Not Yield")</x:f>
        <x:v>Does Not Yield</x:v>
      </x:c>
      <x:c r="E36" s="4" t="s">
        <x:v>45</x:v>
      </x:c>
      <x:c r="F36" s="73">
        <x:f t="shared" si="0"/>
        <x:v>31728.406958070929</x:v>
      </x:c>
      <x:c r="G36" s="71">
        <x:f t="shared" si="1"/>
        <x:v>0.99933826003171344</x:v>
      </x:c>
    </x:row>
    <x:row r="37" ht="15.75" customHeight="1">
      <x:c r="B37" s="6" t="s">
        <x:v>61</x:v>
      </x:c>
      <x:c r="C37" s="46">
        <x:f>IF(MIN(G32:G36)&lt;=1, C3, "No Fatigue Failure")</x:f>
        <x:v>1250</x:v>
      </x:c>
      <x:c r="E37" s="47" t="s">
        <x:v>62</x:v>
      </x:c>
      <x:c r="F37" s="48" t="str">
        <x:f>INDEX(E32:E36, MATCH(MIN(G32:G36), G32:G36, 0))</x:f>
        <x:v>Chain Stays</x:v>
      </x:c>
      <x:c r="G37" s="74" t="s">
        <x:v>63</x:v>
      </x:c>
      <x:c r="H37" s="75"/>
    </x:row>
    <x:row r="40" ht="15.75" customHeight="1"/>
    <x:row r="43">
      <x:c r="H43">
        <x:v>551</x:v>
      </x:c>
    </x:row>
  </x:sheetData>
  <x:mergeCells>
    <x:mergeCell ref="G37:H37"/>
    <x:mergeCell ref="E2:F2"/>
    <x:mergeCell ref="B2:C2"/>
    <x:mergeCell ref="B27:C27"/>
    <x:mergeCell ref="B21:C21"/>
    <x:mergeCell ref="B15:C15"/>
    <x:mergeCell ref="E19:F19"/>
    <x:mergeCell ref="E10:F10"/>
    <x:mergeCell ref="E25:F25"/>
    <x:mergeCell ref="E5:F5"/>
    <x:mergeCell ref="B4:C4"/>
  </x:mergeCells>
  <x:pageMargins left="0.7" right="0.7" top="0.75" bottom="0.75" header="0.3" footer="0.3"/>
</x:worksheet>
</file>