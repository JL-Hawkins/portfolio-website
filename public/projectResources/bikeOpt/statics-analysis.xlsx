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nn\Desktop\"/>
    </mc:Choice>
  </mc:AlternateContent>
  <xr:revisionPtr revIDLastSave="0" documentId="13_ncr:1_{447DA9A9-955B-4620-ABC9-A62E9E3427A2}" xr6:coauthVersionLast="47" xr6:coauthVersionMax="47" xr10:uidLastSave="{00000000-0000-0000-0000-000000000000}"/>
  <bookViews>
    <workbookView xWindow="28680" yWindow="-120" windowWidth="29040" windowHeight="15840" xr2:uid="{30377C7A-DB08-4BC1-B17D-A19F04408CF4}"/>
  </bookViews>
  <sheets>
    <sheet name="Static Analysis Calculator" sheetId="3" r:id="rId1"/>
    <sheet name="Redesign Verification Analysis" sheetId="1" r:id="rId2"/>
  </sheets>
  <definedNames>
    <definedName name="CritFatigueWeight" localSheetId="0">'Static Analysis Calculator'!$C$37</definedName>
    <definedName name="CritFatigueWeight">'Redesign Verification Analysis'!$C$37</definedName>
    <definedName name="FOS_Fatigue" localSheetId="0">'Static Analysis Calculator'!$G$32:$G$36</definedName>
    <definedName name="FOS_Fatigue">'Redesign Verification Analysis'!$G$32:$G$36</definedName>
    <definedName name="FOS_Tube_List" localSheetId="0">'Static Analysis Calculator'!$G$32:$G$36</definedName>
    <definedName name="FOS_Tube_List">'Redesign Verification Analysis'!$G$32:$G$36</definedName>
    <definedName name="RiderWeightInput" localSheetId="0">'Static Analysis Calculator'!$C$3</definedName>
    <definedName name="RiderWeightInput">'Redesign Verification Analysis'!$C$3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3" l="1"/>
  <c r="C26" i="3"/>
  <c r="C25" i="3"/>
  <c r="F4" i="3" s="1"/>
  <c r="F3" i="3" s="1"/>
  <c r="F12" i="3" s="1"/>
  <c r="F24" i="3"/>
  <c r="C24" i="3"/>
  <c r="F23" i="3"/>
  <c r="C23" i="3"/>
  <c r="F22" i="3"/>
  <c r="C22" i="3"/>
  <c r="F21" i="3"/>
  <c r="F20" i="3"/>
  <c r="F29" i="1"/>
  <c r="F24" i="1"/>
  <c r="F23" i="1"/>
  <c r="F20" i="1"/>
  <c r="F22" i="1"/>
  <c r="F21" i="1"/>
  <c r="C25" i="1"/>
  <c r="C23" i="1"/>
  <c r="C24" i="1"/>
  <c r="C22" i="1"/>
  <c r="H21" i="3" l="1"/>
  <c r="F11" i="3"/>
  <c r="G21" i="3"/>
  <c r="F33" i="3" s="1"/>
  <c r="G33" i="3" s="1"/>
  <c r="C26" i="1"/>
  <c r="F15" i="3" l="1"/>
  <c r="H20" i="3"/>
  <c r="G20" i="3"/>
  <c r="F32" i="3" s="1"/>
  <c r="G32" i="3" s="1"/>
  <c r="F4" i="1"/>
  <c r="F3" i="1" s="1"/>
  <c r="G24" i="3" l="1"/>
  <c r="F36" i="3" s="1"/>
  <c r="G36" i="3" s="1"/>
  <c r="F14" i="3"/>
  <c r="F13" i="3"/>
  <c r="H24" i="3"/>
  <c r="F12" i="1"/>
  <c r="H21" i="1" s="1"/>
  <c r="G22" i="3" l="1"/>
  <c r="F34" i="3" s="1"/>
  <c r="G34" i="3" s="1"/>
  <c r="H22" i="3"/>
  <c r="G23" i="3"/>
  <c r="F35" i="3" s="1"/>
  <c r="G35" i="3" s="1"/>
  <c r="H23" i="3"/>
  <c r="G21" i="1"/>
  <c r="F33" i="1" s="1"/>
  <c r="G33" i="1" s="1"/>
  <c r="F11" i="1"/>
  <c r="C36" i="3" l="1"/>
  <c r="F37" i="3"/>
  <c r="C37" i="3"/>
  <c r="F15" i="1"/>
  <c r="F14" i="1" s="1"/>
  <c r="H20" i="1"/>
  <c r="G20" i="1"/>
  <c r="F32" i="1" s="1"/>
  <c r="G32" i="1" s="1"/>
  <c r="F13" i="1" l="1"/>
  <c r="H24" i="1"/>
  <c r="H23" i="1"/>
  <c r="G24" i="1"/>
  <c r="F36" i="1" s="1"/>
  <c r="G36" i="1" s="1"/>
  <c r="H22" i="1" l="1"/>
  <c r="C36" i="1" s="1"/>
  <c r="G23" i="1"/>
  <c r="F35" i="1" s="1"/>
  <c r="G35" i="1" s="1"/>
  <c r="G22" i="1"/>
  <c r="F34" i="1" s="1"/>
  <c r="G34" i="1" s="1"/>
  <c r="C37" i="1" l="1"/>
  <c r="F37" i="1"/>
</calcChain>
</file>

<file path=xl/sharedStrings.xml><?xml version="1.0" encoding="utf-8"?>
<sst xmlns="http://schemas.openxmlformats.org/spreadsheetml/2006/main" count="148" uniqueCount="64">
  <si>
    <t>Input Values</t>
  </si>
  <si>
    <t>Bicyclist Weight (W) [lbf]</t>
  </si>
  <si>
    <t>External Reaction Forces (lbf)</t>
  </si>
  <si>
    <t>Internal Reaction Forces (lbf)</t>
  </si>
  <si>
    <t>Reaction at A (FA)</t>
  </si>
  <si>
    <t>Reaction at C (FC)</t>
  </si>
  <si>
    <t>Length AD</t>
  </si>
  <si>
    <t>Length AB</t>
  </si>
  <si>
    <t>Length BC</t>
  </si>
  <si>
    <t>Member Lengths (in)</t>
  </si>
  <si>
    <t>Length BD</t>
  </si>
  <si>
    <t>Length CD</t>
  </si>
  <si>
    <t>Angles (°)</t>
  </si>
  <si>
    <t>&lt;BCD</t>
  </si>
  <si>
    <t>&lt;ABD</t>
  </si>
  <si>
    <t>AB from horizontal</t>
  </si>
  <si>
    <t>&lt;BAD</t>
  </si>
  <si>
    <t>BC from horizontal</t>
  </si>
  <si>
    <t>AD from horizontal</t>
  </si>
  <si>
    <t xml:space="preserve">Headtube </t>
  </si>
  <si>
    <t>&lt;DBC</t>
  </si>
  <si>
    <t>&lt;CDB</t>
  </si>
  <si>
    <t>Lever Arms</t>
  </si>
  <si>
    <t>ax</t>
  </si>
  <si>
    <t>bx</t>
  </si>
  <si>
    <t>cx</t>
  </si>
  <si>
    <t>dx</t>
  </si>
  <si>
    <t>Length A to C (ax + cx)</t>
  </si>
  <si>
    <t>BD from horizontal</t>
  </si>
  <si>
    <t>FAB (Down Tube)</t>
  </si>
  <si>
    <t>FAD (Top Tube)</t>
  </si>
  <si>
    <t>FBD (Seat Tube)</t>
  </si>
  <si>
    <t>FDC (Seat Stays)</t>
  </si>
  <si>
    <t>FBC (Chain Stays)</t>
  </si>
  <si>
    <t>Cross-Sectional Area</t>
  </si>
  <si>
    <t>Top Tube</t>
  </si>
  <si>
    <t>Seat Tube</t>
  </si>
  <si>
    <t>Seat Stays</t>
  </si>
  <si>
    <t>Head Tube</t>
  </si>
  <si>
    <t>Down Tube</t>
  </si>
  <si>
    <t>Chain Stays</t>
  </si>
  <si>
    <t>Static Analysis</t>
  </si>
  <si>
    <t>Static Failure Analysis</t>
  </si>
  <si>
    <t>Critical Bicyclist Weight (lbf)</t>
  </si>
  <si>
    <t>Effective Stress (σ') (psi)</t>
  </si>
  <si>
    <r>
      <t>Max Allowable Force (σmax</t>
    </r>
    <r>
      <rPr>
        <sz val="11"/>
        <rFont val="Aptos Narrow"/>
        <family val="2"/>
      </rPr>
      <t>)</t>
    </r>
    <r>
      <rPr>
        <sz val="11"/>
        <rFont val="Aptos Narrow"/>
        <family val="2"/>
        <scheme val="minor"/>
      </rPr>
      <t xml:space="preserve"> (lbf)</t>
    </r>
  </si>
  <si>
    <t>*Note 2 FC reactions (2 identical rear supports)</t>
  </si>
  <si>
    <t xml:space="preserve">*Note: FOS = 1 = Yield </t>
  </si>
  <si>
    <r>
      <rPr>
        <i/>
        <sz val="11"/>
        <color rgb="FFFF0000"/>
        <rFont val="Aptos Narrow"/>
        <family val="2"/>
        <scheme val="minor"/>
      </rPr>
      <t>Tension</t>
    </r>
    <r>
      <rPr>
        <i/>
        <sz val="11"/>
        <color theme="1"/>
        <rFont val="Aptos Narrow"/>
        <family val="2"/>
        <scheme val="minor"/>
      </rPr>
      <t xml:space="preserve"> = Postive</t>
    </r>
  </si>
  <si>
    <r>
      <rPr>
        <i/>
        <sz val="11"/>
        <color theme="3" tint="0.499984740745262"/>
        <rFont val="Aptos Narrow"/>
        <family val="2"/>
        <scheme val="minor"/>
      </rPr>
      <t xml:space="preserve">Compression </t>
    </r>
    <r>
      <rPr>
        <i/>
        <sz val="11"/>
        <color theme="1"/>
        <rFont val="Aptos Narrow"/>
        <family val="2"/>
        <scheme val="minor"/>
      </rPr>
      <t>= Negative</t>
    </r>
  </si>
  <si>
    <t>*Note: Based on cross-sectional area</t>
  </si>
  <si>
    <t>Static:</t>
  </si>
  <si>
    <t>Fatigue:</t>
  </si>
  <si>
    <t>Fatigue Failure Analysis</t>
  </si>
  <si>
    <t>Ultimate Tensile Str (Sut, psi)</t>
  </si>
  <si>
    <t>Frame Members</t>
  </si>
  <si>
    <t>Critical Member (Tensile):</t>
  </si>
  <si>
    <t>Yield FOS (σmax/σ')</t>
  </si>
  <si>
    <t>Endurance Limit (Se, psi)</t>
  </si>
  <si>
    <t>Fatigue FOS (Goodman)</t>
  </si>
  <si>
    <t>Yield Strength (σy, psi)</t>
  </si>
  <si>
    <t xml:space="preserve">σmin </t>
  </si>
  <si>
    <t>σmax = σ'</t>
  </si>
  <si>
    <t xml:space="preserve">*Note: FOS = 1 = Fatigue Failure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</si>
</sst>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</font>
    <font>
      <i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i/>
      <sz val="11"/>
      <color theme="3" tint="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CCCC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76">
    <xf numFmtId="0" fontId="0" fillId="0" borderId="0" xfId="0"/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4" xfId="0" applyBorder="1"/>
    <xf numFmtId="0" fontId="0" fillId="0" borderId="5" xfId="0" applyBorder="1" applyAlignment="1">
      <alignment vertical="center" wrapText="1"/>
    </xf>
    <xf numFmtId="0" fontId="0" fillId="0" borderId="3" xfId="0" applyBorder="1"/>
    <xf numFmtId="0" fontId="0" fillId="0" borderId="5" xfId="0" applyBorder="1"/>
    <xf numFmtId="0" fontId="2" fillId="3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3" fillId="0" borderId="0" xfId="0" applyFont="1"/>
    <xf numFmtId="0" fontId="4" fillId="0" borderId="0" xfId="0" applyFont="1"/>
    <xf numFmtId="2" fontId="0" fillId="0" borderId="0" xfId="0" applyNumberFormat="1"/>
    <xf numFmtId="164" fontId="0" fillId="0" borderId="4" xfId="0" applyNumberFormat="1" applyBorder="1" applyAlignment="1">
      <alignment vertical="center" wrapText="1"/>
    </xf>
    <xf numFmtId="164" fontId="0" fillId="0" borderId="8" xfId="0" applyNumberFormat="1" applyBorder="1"/>
    <xf numFmtId="0" fontId="1" fillId="0" borderId="0" xfId="1" applyFill="1" applyBorder="1" applyAlignment="1">
      <alignment horizontal="center"/>
    </xf>
    <xf numFmtId="0" fontId="2" fillId="0" borderId="0" xfId="1" applyFont="1" applyFill="1" applyBorder="1" applyAlignment="1"/>
    <xf numFmtId="164" fontId="1" fillId="0" borderId="4" xfId="1" applyNumberFormat="1" applyFill="1" applyBorder="1" applyAlignment="1">
      <alignment horizontal="right"/>
    </xf>
    <xf numFmtId="0" fontId="0" fillId="0" borderId="3" xfId="1" applyFont="1" applyFill="1" applyBorder="1" applyAlignment="1">
      <alignment horizontal="left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" fontId="2" fillId="6" borderId="2" xfId="0" applyNumberFormat="1" applyFont="1" applyFill="1" applyBorder="1" applyAlignment="1">
      <alignment vertical="center" wrapText="1"/>
    </xf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4" xfId="0" applyBorder="1" applyAlignment="1">
      <alignment horizontal="right"/>
    </xf>
    <xf numFmtId="0" fontId="7" fillId="0" borderId="0" xfId="0" applyFont="1" applyAlignment="1">
      <alignment vertical="center" wrapText="1"/>
    </xf>
    <xf numFmtId="0" fontId="0" fillId="5" borderId="2" xfId="3" applyFont="1" applyBorder="1" applyAlignment="1">
      <alignment horizontal="center" vertical="center" wrapText="1"/>
    </xf>
    <xf numFmtId="0" fontId="0" fillId="5" borderId="9" xfId="3" applyFont="1" applyBorder="1" applyAlignment="1">
      <alignment horizontal="center" vertical="center"/>
    </xf>
    <xf numFmtId="0" fontId="7" fillId="0" borderId="0" xfId="0" applyFont="1"/>
    <xf numFmtId="164" fontId="0" fillId="0" borderId="4" xfId="0" applyNumberFormat="1" applyBorder="1" applyAlignment="1">
      <alignment horizontal="right"/>
    </xf>
    <xf numFmtId="164" fontId="0" fillId="0" borderId="6" xfId="0" applyNumberFormat="1" applyBorder="1" applyAlignment="1">
      <alignment horizontal="right"/>
    </xf>
    <xf numFmtId="1" fontId="5" fillId="0" borderId="4" xfId="0" applyNumberFormat="1" applyFont="1" applyBorder="1" applyAlignment="1">
      <alignment horizontal="right" vertical="center" wrapText="1"/>
    </xf>
    <xf numFmtId="0" fontId="0" fillId="0" borderId="6" xfId="0" applyBorder="1" applyAlignment="1">
      <alignment horizontal="right"/>
    </xf>
    <xf numFmtId="1" fontId="0" fillId="0" borderId="11" xfId="0" applyNumberFormat="1" applyBorder="1" applyAlignment="1">
      <alignment horizontal="right"/>
    </xf>
    <xf numFmtId="1" fontId="0" fillId="0" borderId="12" xfId="0" applyNumberFormat="1" applyBorder="1" applyAlignment="1">
      <alignment horizontal="right"/>
    </xf>
    <xf numFmtId="165" fontId="0" fillId="0" borderId="4" xfId="0" applyNumberFormat="1" applyBorder="1" applyAlignment="1">
      <alignment horizontal="right"/>
    </xf>
    <xf numFmtId="165" fontId="0" fillId="0" borderId="6" xfId="0" applyNumberFormat="1" applyBorder="1" applyAlignment="1">
      <alignment horizontal="right"/>
    </xf>
    <xf numFmtId="0" fontId="7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0" fillId="0" borderId="8" xfId="0" applyBorder="1"/>
    <xf numFmtId="1" fontId="0" fillId="0" borderId="8" xfId="0" applyNumberFormat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" fontId="2" fillId="0" borderId="5" xfId="0" applyNumberFormat="1" applyFont="1" applyBorder="1" applyAlignment="1">
      <alignment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2" fillId="2" borderId="7" xfId="1" applyFont="1" applyBorder="1" applyAlignment="1">
      <alignment horizontal="center"/>
    </xf>
    <xf numFmtId="0" fontId="2" fillId="2" borderId="8" xfId="1" applyFont="1" applyBorder="1" applyAlignment="1">
      <alignment horizontal="center"/>
    </xf>
    <xf numFmtId="0" fontId="2" fillId="4" borderId="1" xfId="2" applyFont="1" applyBorder="1" applyAlignment="1">
      <alignment horizontal="center"/>
    </xf>
    <xf numFmtId="0" fontId="2" fillId="4" borderId="2" xfId="2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5" borderId="1" xfId="3" applyFont="1" applyBorder="1" applyAlignment="1">
      <alignment horizontal="center" vertical="center"/>
    </xf>
    <xf numFmtId="0" fontId="0" fillId="5" borderId="2" xfId="3" applyFont="1" applyBorder="1" applyAlignment="1">
      <alignment horizontal="center" vertical="center"/>
    </xf>
    <xf numFmtId="0" fontId="2" fillId="2" borderId="1" xfId="1" applyFont="1" applyBorder="1" applyAlignment="1">
      <alignment horizontal="center"/>
    </xf>
    <xf numFmtId="0" fontId="2" fillId="2" borderId="2" xfId="1" applyFont="1" applyBorder="1" applyAlignment="1">
      <alignment horizontal="center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left"/>
    </xf>
    <xf numFmtId="1" fontId="0" fillId="0" borderId="4" xfId="0" applyNumberFormat="1" applyBorder="1"/>
    <xf numFmtId="0" fontId="0" fillId="5" borderId="5" xfId="3" applyFont="1" applyBorder="1" applyAlignment="1">
      <alignment horizontal="center" vertical="center"/>
    </xf>
    <xf numFmtId="0" fontId="0" fillId="0" borderId="5" xfId="3" applyFont="1" applyFill="1" applyBorder="1" applyAlignment="1">
      <alignment horizontal="center" vertical="center"/>
    </xf>
    <xf numFmtId="0" fontId="0" fillId="0" borderId="6" xfId="0" applyBorder="1"/>
    <xf numFmtId="165" fontId="0" fillId="0" borderId="4" xfId="0" applyNumberFormat="1" applyBorder="1"/>
    <xf numFmtId="0" fontId="0" fillId="5" borderId="7" xfId="3" applyFont="1" applyBorder="1" applyAlignment="1">
      <alignment horizontal="center" vertical="center"/>
    </xf>
    <xf numFmtId="1" fontId="0" fillId="0" borderId="13" xfId="0" applyNumberFormat="1" applyBorder="1"/>
    <xf numFmtId="165" fontId="0" fillId="0" borderId="4" xfId="0" applyNumberFormat="1" applyBorder="1" applyAlignment="1">
      <alignment horizontal="center"/>
    </xf>
    <xf numFmtId="165" fontId="0" fillId="0" borderId="6" xfId="0" applyNumberFormat="1" applyBorder="1"/>
    <xf numFmtId="1" fontId="0" fillId="0" borderId="11" xfId="0" applyNumberFormat="1" applyBorder="1"/>
    <xf numFmtId="1" fontId="0" fillId="0" borderId="12" xfId="0" applyNumberFormat="1" applyBorder="1"/>
    <xf numFmtId="0" fontId="7" fillId="0" borderId="3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center" wrapText="1"/>
    </xf>
  </cellXfs>
  <cellStyles count="4">
    <cellStyle name="20% - Accent2" xfId="3" builtinId="34"/>
    <cellStyle name="20% - Accent4" xfId="1" builtinId="42"/>
    <cellStyle name="20% - Accent6" xfId="2" builtinId="50"/>
    <cellStyle name="Normal" xfId="0" builtinId="0"/>
  </cellStyles>
  <dxfs count="0"/>
  <tableStyles count="0" defaultTableStyle="TableStyleMedium2" defaultPivotStyle="PivotStyleLight16"/>
  <colors>
    <mruColors>
      <color rgb="FFFFCC99"/>
      <color rgb="FFFFCCCC"/>
      <color rgb="FFFF99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04FD8-149C-41A2-8211-EAC63FAB32B1}">
  <sheetPr codeName="Sheet2">
    <tabColor theme="4" tint="0.59999389629810485"/>
  </sheetPr>
  <dimension ref="B1:I43"/>
  <sheetViews>
    <sheetView tabSelected="1" zoomScale="85" zoomScaleNormal="85" workbookViewId="0">
      <selection activeCell="I12" sqref="I12"/>
    </sheetView>
  </sheetViews>
  <sheetFormatPr defaultRowHeight="15" x14ac:dyDescent="0.25"/>
  <cols>
    <col min="2" max="2" width="34.42578125" customWidth="1"/>
    <col min="3" max="3" width="18.140625" customWidth="1"/>
    <col min="4" max="4" width="9.5703125" customWidth="1"/>
    <col min="5" max="5" width="25" customWidth="1"/>
    <col min="6" max="6" width="20" customWidth="1"/>
    <col min="7" max="7" width="23" customWidth="1"/>
    <col min="8" max="8" width="20.7109375" customWidth="1"/>
    <col min="9" max="9" width="26.42578125" customWidth="1"/>
    <col min="10" max="11" width="26.85546875" customWidth="1"/>
    <col min="12" max="12" width="20.28515625" customWidth="1"/>
    <col min="13" max="13" width="24.85546875" customWidth="1"/>
    <col min="14" max="14" width="9.140625" customWidth="1"/>
    <col min="16" max="16" width="10.140625" customWidth="1"/>
  </cols>
  <sheetData>
    <row r="1" spans="2:7" ht="15.75" thickBot="1" x14ac:dyDescent="0.3"/>
    <row r="2" spans="2:7" ht="15.75" thickBot="1" x14ac:dyDescent="0.3">
      <c r="B2" s="51" t="s">
        <v>0</v>
      </c>
      <c r="C2" s="52"/>
      <c r="E2" s="49" t="s">
        <v>2</v>
      </c>
      <c r="F2" s="50"/>
    </row>
    <row r="3" spans="2:7" ht="15.75" thickBot="1" x14ac:dyDescent="0.3">
      <c r="B3" s="7" t="s">
        <v>1</v>
      </c>
      <c r="C3" s="8">
        <v>200</v>
      </c>
      <c r="E3" s="11" t="s">
        <v>4</v>
      </c>
      <c r="F3" s="16">
        <f>C3 - 2*F4</f>
        <v>95.525747232810133</v>
      </c>
    </row>
    <row r="4" spans="2:7" ht="15.75" thickBot="1" x14ac:dyDescent="0.3">
      <c r="B4" s="53" t="s">
        <v>12</v>
      </c>
      <c r="C4" s="54"/>
      <c r="E4" s="6" t="s">
        <v>5</v>
      </c>
      <c r="F4" s="10">
        <f xml:space="preserve"> (C3 * C25) / (2*C26)</f>
        <v>52.237126383594934</v>
      </c>
    </row>
    <row r="5" spans="2:7" x14ac:dyDescent="0.25">
      <c r="B5" s="1" t="s">
        <v>16</v>
      </c>
      <c r="C5" s="2">
        <v>34</v>
      </c>
      <c r="E5" s="62" t="s">
        <v>46</v>
      </c>
      <c r="F5" s="62"/>
    </row>
    <row r="6" spans="2:7" x14ac:dyDescent="0.25">
      <c r="B6" s="5" t="s">
        <v>14</v>
      </c>
      <c r="C6" s="3">
        <v>56</v>
      </c>
      <c r="E6" s="33" t="s">
        <v>48</v>
      </c>
    </row>
    <row r="7" spans="2:7" x14ac:dyDescent="0.25">
      <c r="B7" s="1" t="s">
        <v>20</v>
      </c>
      <c r="C7" s="2">
        <v>68</v>
      </c>
      <c r="E7" s="33" t="s">
        <v>49</v>
      </c>
      <c r="F7" s="14"/>
    </row>
    <row r="8" spans="2:7" x14ac:dyDescent="0.25">
      <c r="B8" s="1" t="s">
        <v>13</v>
      </c>
      <c r="C8" s="2">
        <v>55</v>
      </c>
      <c r="G8" s="18"/>
    </row>
    <row r="9" spans="2:7" ht="15.75" thickBot="1" x14ac:dyDescent="0.3">
      <c r="B9" s="1" t="s">
        <v>21</v>
      </c>
      <c r="C9" s="2">
        <v>57</v>
      </c>
      <c r="E9" s="26" t="s">
        <v>41</v>
      </c>
      <c r="G9" s="17"/>
    </row>
    <row r="10" spans="2:7" ht="15.75" thickBot="1" x14ac:dyDescent="0.3">
      <c r="B10" s="1" t="s">
        <v>15</v>
      </c>
      <c r="C10" s="2">
        <v>34</v>
      </c>
      <c r="E10" s="59" t="s">
        <v>3</v>
      </c>
      <c r="F10" s="60"/>
      <c r="G10" s="12"/>
    </row>
    <row r="11" spans="2:7" x14ac:dyDescent="0.25">
      <c r="B11" s="1" t="s">
        <v>17</v>
      </c>
      <c r="C11" s="2">
        <v>6</v>
      </c>
      <c r="E11" s="5" t="s">
        <v>29</v>
      </c>
      <c r="F11" s="19">
        <f>-F12*(COS(RADIANS(16))) / COS(RADIANS(34))</f>
        <v>296.94706373661461</v>
      </c>
      <c r="G11" s="13"/>
    </row>
    <row r="12" spans="2:7" x14ac:dyDescent="0.25">
      <c r="B12" s="5" t="s">
        <v>18</v>
      </c>
      <c r="C12" s="3">
        <v>16</v>
      </c>
      <c r="E12" s="20" t="s">
        <v>30</v>
      </c>
      <c r="F12" s="34">
        <f>-F3 / 0.373</f>
        <v>-256.10119901557675</v>
      </c>
    </row>
    <row r="13" spans="2:7" x14ac:dyDescent="0.25">
      <c r="B13" s="1" t="s">
        <v>28</v>
      </c>
      <c r="C13" s="2">
        <v>74</v>
      </c>
      <c r="E13" s="5" t="s">
        <v>31</v>
      </c>
      <c r="F13" s="34">
        <f xml:space="preserve"> (F10* COS(RADIANS(34)) - F15*COS(RADIANS(6))) / COS(RADIANS(74))</f>
        <v>-549.497572964494</v>
      </c>
    </row>
    <row r="14" spans="2:7" ht="15.75" thickBot="1" x14ac:dyDescent="0.3">
      <c r="B14" s="1" t="s">
        <v>19</v>
      </c>
      <c r="C14" s="2">
        <v>16</v>
      </c>
      <c r="E14" s="5" t="s">
        <v>32</v>
      </c>
      <c r="F14" s="34">
        <f>(F15*COS(RADIANS(6)))/2</f>
        <v>75.731029019895843</v>
      </c>
    </row>
    <row r="15" spans="2:7" ht="15.75" thickBot="1" x14ac:dyDescent="0.3">
      <c r="B15" s="53" t="s">
        <v>9</v>
      </c>
      <c r="C15" s="54"/>
      <c r="E15" s="6" t="s">
        <v>33</v>
      </c>
      <c r="F15" s="35">
        <f>((-F11 * SIN(RADIANS(34)) - F11 * COS(RADIANS(34)) * TAN(RADIANS(74))) / (SIN(RADIANS(6)) - COS(RADIANS(6)) * TAN(RADIANS(74)))) / 2</f>
        <v>152.29635339874042</v>
      </c>
    </row>
    <row r="16" spans="2:7" x14ac:dyDescent="0.25">
      <c r="B16" s="1" t="s">
        <v>6</v>
      </c>
      <c r="C16" s="2">
        <v>20</v>
      </c>
      <c r="F16" s="14"/>
    </row>
    <row r="17" spans="2:9" ht="15.75" thickBot="1" x14ac:dyDescent="0.3">
      <c r="B17" s="1" t="s">
        <v>7</v>
      </c>
      <c r="C17" s="2">
        <v>24</v>
      </c>
      <c r="E17" s="26" t="s">
        <v>42</v>
      </c>
      <c r="F17" s="14"/>
    </row>
    <row r="18" spans="2:9" ht="15" customHeight="1" thickBot="1" x14ac:dyDescent="0.3">
      <c r="B18" s="1" t="s">
        <v>8</v>
      </c>
      <c r="C18" s="2">
        <v>17</v>
      </c>
      <c r="E18" s="27" t="s">
        <v>60</v>
      </c>
      <c r="F18" s="28">
        <v>50800</v>
      </c>
    </row>
    <row r="19" spans="2:9" ht="15.75" thickBot="1" x14ac:dyDescent="0.3">
      <c r="B19" s="1" t="s">
        <v>10</v>
      </c>
      <c r="C19" s="2">
        <v>15</v>
      </c>
      <c r="E19" s="57" t="s">
        <v>45</v>
      </c>
      <c r="F19" s="58"/>
      <c r="G19" s="32" t="s">
        <v>44</v>
      </c>
      <c r="H19" s="31" t="s">
        <v>57</v>
      </c>
    </row>
    <row r="20" spans="2:9" ht="15.75" thickBot="1" x14ac:dyDescent="0.3">
      <c r="B20" s="1" t="s">
        <v>11</v>
      </c>
      <c r="C20" s="2">
        <v>18</v>
      </c>
      <c r="E20" s="1" t="s">
        <v>39</v>
      </c>
      <c r="F20" s="36">
        <f>F18*C32</f>
        <v>6096</v>
      </c>
      <c r="G20" s="38">
        <f>F11 / C32</f>
        <v>2474.5588644717886</v>
      </c>
      <c r="H20" s="40">
        <f>F20/ ABS(F11)</f>
        <v>20.528911528173975</v>
      </c>
    </row>
    <row r="21" spans="2:9" ht="15.75" thickBot="1" x14ac:dyDescent="0.3">
      <c r="B21" s="55" t="s">
        <v>22</v>
      </c>
      <c r="C21" s="56"/>
      <c r="E21" s="1" t="s">
        <v>35</v>
      </c>
      <c r="F21" s="29">
        <f>F18 * C28</f>
        <v>5588</v>
      </c>
      <c r="G21" s="38">
        <f>F12 / C28</f>
        <v>-2328.1927183234252</v>
      </c>
      <c r="H21" s="40">
        <f>F21/ ABS(F12)</f>
        <v>21.819499562983783</v>
      </c>
    </row>
    <row r="22" spans="2:9" ht="15" customHeight="1" x14ac:dyDescent="0.25">
      <c r="B22" s="1" t="s">
        <v>23</v>
      </c>
      <c r="C22" s="15">
        <f>C17 * COS(RADIANS(C10))</f>
        <v>19.896901741320999</v>
      </c>
      <c r="E22" s="1" t="s">
        <v>36</v>
      </c>
      <c r="F22" s="29">
        <f xml:space="preserve"> F18 * C29</f>
        <v>3556.0000000000005</v>
      </c>
      <c r="G22" s="38">
        <f>F13 / C29</f>
        <v>-7849.9653280641996</v>
      </c>
      <c r="H22" s="40">
        <f>F22/ ABS(F13)</f>
        <v>6.4713661623939016</v>
      </c>
    </row>
    <row r="23" spans="2:9" ht="15.75" customHeight="1" x14ac:dyDescent="0.25">
      <c r="B23" s="1" t="s">
        <v>24</v>
      </c>
      <c r="C23" s="9">
        <f>C19*COS(RADIANS(C13))</f>
        <v>4.1345603372549871</v>
      </c>
      <c r="E23" s="1" t="s">
        <v>37</v>
      </c>
      <c r="F23" s="29">
        <f xml:space="preserve"> F18 *C30</f>
        <v>2540</v>
      </c>
      <c r="G23" s="38">
        <f>F14 / C30</f>
        <v>1514.6205803979167</v>
      </c>
      <c r="H23" s="40">
        <f>F23/ ABS(F14)</f>
        <v>33.539752897490651</v>
      </c>
    </row>
    <row r="24" spans="2:9" ht="15.75" customHeight="1" thickBot="1" x14ac:dyDescent="0.3">
      <c r="B24" s="1" t="s">
        <v>25</v>
      </c>
      <c r="C24" s="15">
        <f>C18 * COS(RADIANS(C11))</f>
        <v>16.906872221260645</v>
      </c>
      <c r="E24" s="4" t="s">
        <v>40</v>
      </c>
      <c r="F24" s="37">
        <f>F18 * C33</f>
        <v>1524</v>
      </c>
      <c r="G24" s="39">
        <f>F15 / C33</f>
        <v>5076.5451132913477</v>
      </c>
      <c r="H24" s="41">
        <f>F24/ ABS(F15)</f>
        <v>10.00680558653878</v>
      </c>
    </row>
    <row r="25" spans="2:9" ht="15" customHeight="1" x14ac:dyDescent="0.25">
      <c r="B25" s="1" t="s">
        <v>26</v>
      </c>
      <c r="C25" s="15">
        <f>C16 * COS(RADIANS(C12))</f>
        <v>19.225233918766378</v>
      </c>
      <c r="E25" s="61" t="s">
        <v>50</v>
      </c>
      <c r="F25" s="61"/>
      <c r="H25" s="42" t="s">
        <v>47</v>
      </c>
    </row>
    <row r="26" spans="2:9" ht="15.75" thickBot="1" x14ac:dyDescent="0.3">
      <c r="B26" s="1" t="s">
        <v>27</v>
      </c>
      <c r="C26" s="15">
        <f>C22 + C24</f>
        <v>36.803773962581644</v>
      </c>
    </row>
    <row r="27" spans="2:9" ht="15.75" thickBot="1" x14ac:dyDescent="0.3">
      <c r="B27" s="53" t="s">
        <v>34</v>
      </c>
      <c r="C27" s="54"/>
      <c r="E27" s="43" t="s">
        <v>53</v>
      </c>
      <c r="F27" s="43"/>
    </row>
    <row r="28" spans="2:9" ht="15" customHeight="1" x14ac:dyDescent="0.25">
      <c r="B28" s="21" t="s">
        <v>35</v>
      </c>
      <c r="C28" s="22">
        <v>0.11</v>
      </c>
      <c r="E28" s="11" t="s">
        <v>54</v>
      </c>
      <c r="F28" s="44">
        <v>60900</v>
      </c>
    </row>
    <row r="29" spans="2:9" ht="15" customHeight="1" x14ac:dyDescent="0.25">
      <c r="B29" s="1" t="s">
        <v>36</v>
      </c>
      <c r="C29" s="2">
        <v>7.0000000000000007E-2</v>
      </c>
      <c r="E29" s="5" t="s">
        <v>58</v>
      </c>
      <c r="F29" s="63">
        <f xml:space="preserve"> 0.91*0.91*0.85*0.5 * F28</f>
        <v>21433.29825</v>
      </c>
      <c r="I29" s="30"/>
    </row>
    <row r="30" spans="2:9" ht="15" customHeight="1" thickBot="1" x14ac:dyDescent="0.3">
      <c r="B30" s="1" t="s">
        <v>37</v>
      </c>
      <c r="C30" s="2">
        <v>0.05</v>
      </c>
      <c r="E30" s="65" t="s">
        <v>61</v>
      </c>
      <c r="F30" s="66">
        <v>0</v>
      </c>
    </row>
    <row r="31" spans="2:9" ht="15.75" customHeight="1" thickBot="1" x14ac:dyDescent="0.3">
      <c r="B31" s="1" t="s">
        <v>38</v>
      </c>
      <c r="C31" s="2">
        <v>7.0000000000000007E-2</v>
      </c>
      <c r="E31" s="64" t="s">
        <v>55</v>
      </c>
      <c r="F31" s="68" t="s">
        <v>62</v>
      </c>
      <c r="G31" s="32" t="s">
        <v>59</v>
      </c>
    </row>
    <row r="32" spans="2:9" ht="15" customHeight="1" x14ac:dyDescent="0.25">
      <c r="B32" s="1" t="s">
        <v>39</v>
      </c>
      <c r="C32" s="2">
        <v>0.12</v>
      </c>
      <c r="E32" s="21" t="s">
        <v>39</v>
      </c>
      <c r="F32" s="69">
        <f>G20</f>
        <v>2474.5588644717886</v>
      </c>
      <c r="G32" s="67">
        <f>IF(F32&gt;0, 1 / ( ((F32 - $F$30) / (2 * $F$29)) + ((F32 +$F$30) / (2 * $F$28)) ), "Member Not in Tension")</f>
        <v>12.813358961992151</v>
      </c>
    </row>
    <row r="33" spans="2:8" ht="15.75" customHeight="1" thickBot="1" x14ac:dyDescent="0.3">
      <c r="B33" s="4" t="s">
        <v>40</v>
      </c>
      <c r="C33" s="23">
        <v>0.03</v>
      </c>
      <c r="D33" s="18"/>
      <c r="E33" s="1" t="s">
        <v>35</v>
      </c>
      <c r="F33" s="72">
        <f t="shared" ref="F33:F36" si="0">G21</f>
        <v>-2328.1927183234252</v>
      </c>
      <c r="G33" s="70" t="str">
        <f t="shared" ref="G33:G36" si="1">IF(F33&gt;0, 1 / ( ((F33 - $F$30) / (2 * $F$29)) + ((F33 +$F$30) / (2 * $F$28)) ), "Member Not in Tension")</f>
        <v>Member Not in Tension</v>
      </c>
    </row>
    <row r="34" spans="2:8" ht="15.75" customHeight="1" thickBot="1" x14ac:dyDescent="0.3">
      <c r="E34" s="1" t="s">
        <v>36</v>
      </c>
      <c r="F34" s="72">
        <f t="shared" si="0"/>
        <v>-7849.9653280641996</v>
      </c>
      <c r="G34" s="70" t="str">
        <f t="shared" si="1"/>
        <v>Member Not in Tension</v>
      </c>
    </row>
    <row r="35" spans="2:8" ht="15.75" customHeight="1" thickBot="1" x14ac:dyDescent="0.3">
      <c r="B35" s="24" t="s">
        <v>43</v>
      </c>
      <c r="C35" s="25"/>
      <c r="E35" s="1" t="s">
        <v>37</v>
      </c>
      <c r="F35" s="72">
        <f t="shared" si="0"/>
        <v>1514.6205803979167</v>
      </c>
      <c r="G35" s="67">
        <f t="shared" si="1"/>
        <v>20.93422696971847</v>
      </c>
    </row>
    <row r="36" spans="2:8" ht="15.75" thickBot="1" x14ac:dyDescent="0.3">
      <c r="B36" s="11" t="s">
        <v>51</v>
      </c>
      <c r="C36" s="45" t="str">
        <f>IF(MIN(H20:H24)&lt;=1, C3, "Does Not Yield")</f>
        <v>Does Not Yield</v>
      </c>
      <c r="E36" s="4" t="s">
        <v>40</v>
      </c>
      <c r="F36" s="73">
        <f t="shared" si="0"/>
        <v>5076.5451132913477</v>
      </c>
      <c r="G36" s="71">
        <f t="shared" si="1"/>
        <v>6.2458641251982092</v>
      </c>
    </row>
    <row r="37" spans="2:8" ht="15.75" customHeight="1" thickBot="1" x14ac:dyDescent="0.3">
      <c r="B37" s="6" t="s">
        <v>52</v>
      </c>
      <c r="C37" s="46" t="str">
        <f>IF(MIN(G32:G36)&lt;=1, C3, "No Fatigue Failure")</f>
        <v>No Fatigue Failure</v>
      </c>
      <c r="E37" s="47" t="s">
        <v>56</v>
      </c>
      <c r="F37" s="48" t="str">
        <f>INDEX(E32:E36, MATCH(MIN(G32:G36), G32:G36, 0))</f>
        <v>Chain Stays</v>
      </c>
      <c r="G37" s="74" t="s">
        <v>63</v>
      </c>
      <c r="H37" s="75"/>
    </row>
    <row r="40" spans="2:8" ht="15.75" customHeight="1" x14ac:dyDescent="0.25"/>
    <row r="43" spans="2:8" x14ac:dyDescent="0.25">
      <c r="H43">
        <v>551</v>
      </c>
    </row>
  </sheetData>
  <mergeCells count="11">
    <mergeCell ref="E19:F19"/>
    <mergeCell ref="B21:C21"/>
    <mergeCell ref="E25:F25"/>
    <mergeCell ref="B27:C27"/>
    <mergeCell ref="G37:H37"/>
    <mergeCell ref="B2:C2"/>
    <mergeCell ref="E2:F2"/>
    <mergeCell ref="B4:C4"/>
    <mergeCell ref="E5:F5"/>
    <mergeCell ref="E10:F10"/>
    <mergeCell ref="B15:C1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951F0-B35C-4F22-B131-E0654A52B622}">
  <sheetPr codeName="Sheet1">
    <tabColor theme="9" tint="0.79998168889431442"/>
  </sheetPr>
  <dimension ref="B1:I43"/>
  <sheetViews>
    <sheetView zoomScale="85" zoomScaleNormal="85" workbookViewId="0">
      <selection activeCell="I28" sqref="I28"/>
    </sheetView>
  </sheetViews>
  <sheetFormatPr defaultRowHeight="15" x14ac:dyDescent="0.25"/>
  <cols>
    <col min="2" max="2" width="34.42578125" customWidth="1"/>
    <col min="3" max="3" width="18.140625" customWidth="1"/>
    <col min="4" max="4" width="9.5703125" customWidth="1"/>
    <col min="5" max="5" width="25" customWidth="1"/>
    <col min="6" max="6" width="20" customWidth="1"/>
    <col min="7" max="7" width="23" customWidth="1"/>
    <col min="8" max="8" width="20.7109375" customWidth="1"/>
    <col min="9" max="9" width="26.42578125" customWidth="1"/>
    <col min="10" max="11" width="26.85546875" customWidth="1"/>
    <col min="12" max="12" width="20.28515625" customWidth="1"/>
    <col min="13" max="13" width="24.85546875" customWidth="1"/>
    <col min="14" max="14" width="9.140625" customWidth="1"/>
    <col min="16" max="16" width="10.140625" customWidth="1"/>
  </cols>
  <sheetData>
    <row r="1" spans="2:7" ht="15.75" thickBot="1" x14ac:dyDescent="0.3"/>
    <row r="2" spans="2:7" ht="15.75" thickBot="1" x14ac:dyDescent="0.3">
      <c r="B2" s="51" t="s">
        <v>0</v>
      </c>
      <c r="C2" s="52"/>
      <c r="E2" s="49" t="s">
        <v>2</v>
      </c>
      <c r="F2" s="50"/>
    </row>
    <row r="3" spans="2:7" ht="15.75" thickBot="1" x14ac:dyDescent="0.3">
      <c r="B3" s="7" t="s">
        <v>1</v>
      </c>
      <c r="C3" s="8">
        <v>1250</v>
      </c>
      <c r="E3" s="11" t="s">
        <v>4</v>
      </c>
      <c r="F3" s="16">
        <f>C3 - 2*F4</f>
        <v>597.03592020506335</v>
      </c>
    </row>
    <row r="4" spans="2:7" ht="15.75" thickBot="1" x14ac:dyDescent="0.3">
      <c r="B4" s="53" t="s">
        <v>12</v>
      </c>
      <c r="C4" s="54"/>
      <c r="E4" s="6" t="s">
        <v>5</v>
      </c>
      <c r="F4" s="10">
        <f xml:space="preserve"> (C3 * C25) / (2*C26)</f>
        <v>326.48203989746833</v>
      </c>
    </row>
    <row r="5" spans="2:7" x14ac:dyDescent="0.25">
      <c r="B5" s="1" t="s">
        <v>16</v>
      </c>
      <c r="C5" s="2">
        <v>34</v>
      </c>
      <c r="E5" s="62" t="s">
        <v>46</v>
      </c>
      <c r="F5" s="62"/>
    </row>
    <row r="6" spans="2:7" x14ac:dyDescent="0.25">
      <c r="B6" s="5" t="s">
        <v>14</v>
      </c>
      <c r="C6" s="3">
        <v>56</v>
      </c>
      <c r="E6" s="33" t="s">
        <v>48</v>
      </c>
    </row>
    <row r="7" spans="2:7" x14ac:dyDescent="0.25">
      <c r="B7" s="1" t="s">
        <v>20</v>
      </c>
      <c r="C7" s="2">
        <v>68</v>
      </c>
      <c r="E7" s="33" t="s">
        <v>49</v>
      </c>
      <c r="F7" s="14"/>
    </row>
    <row r="8" spans="2:7" x14ac:dyDescent="0.25">
      <c r="B8" s="1" t="s">
        <v>13</v>
      </c>
      <c r="C8" s="2">
        <v>55</v>
      </c>
      <c r="G8" s="18"/>
    </row>
    <row r="9" spans="2:7" ht="15.75" thickBot="1" x14ac:dyDescent="0.3">
      <c r="B9" s="1" t="s">
        <v>21</v>
      </c>
      <c r="C9" s="2">
        <v>57</v>
      </c>
      <c r="E9" s="26" t="s">
        <v>41</v>
      </c>
      <c r="G9" s="17"/>
    </row>
    <row r="10" spans="2:7" ht="15.75" thickBot="1" x14ac:dyDescent="0.3">
      <c r="B10" s="1" t="s">
        <v>15</v>
      </c>
      <c r="C10" s="2">
        <v>34</v>
      </c>
      <c r="E10" s="59" t="s">
        <v>3</v>
      </c>
      <c r="F10" s="60"/>
      <c r="G10" s="12"/>
    </row>
    <row r="11" spans="2:7" x14ac:dyDescent="0.25">
      <c r="B11" s="1" t="s">
        <v>17</v>
      </c>
      <c r="C11" s="2">
        <v>6</v>
      </c>
      <c r="E11" s="5" t="s">
        <v>29</v>
      </c>
      <c r="F11" s="19">
        <f>-F12*(COS(RADIANS(16))) / COS(RADIANS(34))</f>
        <v>1855.9191483538418</v>
      </c>
      <c r="G11" s="13"/>
    </row>
    <row r="12" spans="2:7" x14ac:dyDescent="0.25">
      <c r="B12" s="5" t="s">
        <v>18</v>
      </c>
      <c r="C12" s="3">
        <v>16</v>
      </c>
      <c r="E12" s="20" t="s">
        <v>30</v>
      </c>
      <c r="F12" s="34">
        <f>-F3 / 0.373</f>
        <v>-1600.6324938473549</v>
      </c>
    </row>
    <row r="13" spans="2:7" x14ac:dyDescent="0.25">
      <c r="B13" s="1" t="s">
        <v>28</v>
      </c>
      <c r="C13" s="2">
        <v>74</v>
      </c>
      <c r="E13" s="5" t="s">
        <v>31</v>
      </c>
      <c r="F13" s="34">
        <f xml:space="preserve"> (F10* COS(RADIANS(34)) - F15*COS(RADIANS(6))) / COS(RADIANS(74))</f>
        <v>-3434.3598310280881</v>
      </c>
    </row>
    <row r="14" spans="2:7" ht="15.75" thickBot="1" x14ac:dyDescent="0.3">
      <c r="B14" s="1" t="s">
        <v>19</v>
      </c>
      <c r="C14" s="2">
        <v>16</v>
      </c>
      <c r="E14" s="5" t="s">
        <v>32</v>
      </c>
      <c r="F14" s="34">
        <f>(F15*COS(RADIANS(6)))/2</f>
        <v>473.31893137434912</v>
      </c>
    </row>
    <row r="15" spans="2:7" ht="15.75" thickBot="1" x14ac:dyDescent="0.3">
      <c r="B15" s="53" t="s">
        <v>9</v>
      </c>
      <c r="C15" s="54"/>
      <c r="E15" s="6" t="s">
        <v>33</v>
      </c>
      <c r="F15" s="35">
        <f>((-F11 * SIN(RADIANS(34)) - F11 * COS(RADIANS(34)) * TAN(RADIANS(74))) / (SIN(RADIANS(6)) - COS(RADIANS(6)) * TAN(RADIANS(74)))) / 2</f>
        <v>951.8522087421278</v>
      </c>
    </row>
    <row r="16" spans="2:7" x14ac:dyDescent="0.25">
      <c r="B16" s="1" t="s">
        <v>6</v>
      </c>
      <c r="C16" s="2">
        <v>20</v>
      </c>
      <c r="F16" s="14"/>
    </row>
    <row r="17" spans="2:9" ht="15.75" thickBot="1" x14ac:dyDescent="0.3">
      <c r="B17" s="1" t="s">
        <v>7</v>
      </c>
      <c r="C17" s="2">
        <v>24</v>
      </c>
      <c r="E17" s="26" t="s">
        <v>42</v>
      </c>
      <c r="F17" s="14"/>
    </row>
    <row r="18" spans="2:9" ht="15" customHeight="1" thickBot="1" x14ac:dyDescent="0.3">
      <c r="B18" s="1" t="s">
        <v>8</v>
      </c>
      <c r="C18" s="2">
        <v>17</v>
      </c>
      <c r="E18" s="27" t="s">
        <v>60</v>
      </c>
      <c r="F18" s="28">
        <v>50800</v>
      </c>
    </row>
    <row r="19" spans="2:9" ht="15.75" thickBot="1" x14ac:dyDescent="0.3">
      <c r="B19" s="1" t="s">
        <v>10</v>
      </c>
      <c r="C19" s="2">
        <v>15</v>
      </c>
      <c r="E19" s="57" t="s">
        <v>45</v>
      </c>
      <c r="F19" s="58"/>
      <c r="G19" s="32" t="s">
        <v>44</v>
      </c>
      <c r="H19" s="31" t="s">
        <v>57</v>
      </c>
    </row>
    <row r="20" spans="2:9" ht="15.75" thickBot="1" x14ac:dyDescent="0.3">
      <c r="B20" s="1" t="s">
        <v>11</v>
      </c>
      <c r="C20" s="2">
        <v>18</v>
      </c>
      <c r="E20" s="1" t="s">
        <v>39</v>
      </c>
      <c r="F20" s="36">
        <f>F18*C32</f>
        <v>5080</v>
      </c>
      <c r="G20" s="38">
        <f>F11 / C32</f>
        <v>18559.191483538416</v>
      </c>
      <c r="H20" s="40">
        <f>F20/ ABS(F11)</f>
        <v>2.7371882037565292</v>
      </c>
    </row>
    <row r="21" spans="2:9" ht="15.75" thickBot="1" x14ac:dyDescent="0.3">
      <c r="B21" s="55" t="s">
        <v>22</v>
      </c>
      <c r="C21" s="56"/>
      <c r="E21" s="1" t="s">
        <v>35</v>
      </c>
      <c r="F21" s="29">
        <f>F18 * C28</f>
        <v>4445</v>
      </c>
      <c r="G21" s="38">
        <f>F12 / C28</f>
        <v>-18292.942786826916</v>
      </c>
      <c r="H21" s="40">
        <f>F21/ ABS(F12)</f>
        <v>2.7770272171070265</v>
      </c>
    </row>
    <row r="22" spans="2:9" ht="15" customHeight="1" x14ac:dyDescent="0.25">
      <c r="B22" s="1" t="s">
        <v>23</v>
      </c>
      <c r="C22" s="15">
        <f>C17 * COS(RADIANS(C10))</f>
        <v>19.896901741320999</v>
      </c>
      <c r="E22" s="1" t="s">
        <v>36</v>
      </c>
      <c r="F22" s="29">
        <f xml:space="preserve"> F18 * C29</f>
        <v>3556.0000000000005</v>
      </c>
      <c r="G22" s="38">
        <f>F13 / C29</f>
        <v>-49062.283300401257</v>
      </c>
      <c r="H22" s="40">
        <f>F22/ ABS(F13)</f>
        <v>1.0354185859830241</v>
      </c>
    </row>
    <row r="23" spans="2:9" ht="15.75" customHeight="1" x14ac:dyDescent="0.25">
      <c r="B23" s="1" t="s">
        <v>24</v>
      </c>
      <c r="C23" s="9">
        <f>C19*COS(RADIANS(C13))</f>
        <v>4.1345603372549871</v>
      </c>
      <c r="E23" s="1" t="s">
        <v>37</v>
      </c>
      <c r="F23" s="29">
        <f xml:space="preserve"> F18 *C30</f>
        <v>2540</v>
      </c>
      <c r="G23" s="38">
        <f>F14 / C30</f>
        <v>9466.3786274869817</v>
      </c>
      <c r="H23" s="40">
        <f>F23/ ABS(F14)</f>
        <v>5.3663604635985029</v>
      </c>
    </row>
    <row r="24" spans="2:9" ht="15.75" customHeight="1" thickBot="1" x14ac:dyDescent="0.3">
      <c r="B24" s="1" t="s">
        <v>25</v>
      </c>
      <c r="C24" s="15">
        <f>C18 * COS(RADIANS(C11))</f>
        <v>16.906872221260645</v>
      </c>
      <c r="E24" s="4" t="s">
        <v>40</v>
      </c>
      <c r="F24" s="37">
        <f>F18 * C33</f>
        <v>1524</v>
      </c>
      <c r="G24" s="39">
        <f>F15 / C33</f>
        <v>31728.406958070929</v>
      </c>
      <c r="H24" s="41">
        <f>F24/ ABS(F15)</f>
        <v>1.6010888938462045</v>
      </c>
    </row>
    <row r="25" spans="2:9" ht="15" customHeight="1" x14ac:dyDescent="0.25">
      <c r="B25" s="1" t="s">
        <v>26</v>
      </c>
      <c r="C25" s="15">
        <f>C16 * COS(RADIANS(C12))</f>
        <v>19.225233918766378</v>
      </c>
      <c r="E25" s="61" t="s">
        <v>50</v>
      </c>
      <c r="F25" s="61"/>
      <c r="H25" s="42" t="s">
        <v>47</v>
      </c>
    </row>
    <row r="26" spans="2:9" ht="15.75" thickBot="1" x14ac:dyDescent="0.3">
      <c r="B26" s="1" t="s">
        <v>27</v>
      </c>
      <c r="C26" s="15">
        <f>C22 + C24</f>
        <v>36.803773962581644</v>
      </c>
    </row>
    <row r="27" spans="2:9" ht="15.75" thickBot="1" x14ac:dyDescent="0.3">
      <c r="B27" s="53" t="s">
        <v>34</v>
      </c>
      <c r="C27" s="54"/>
      <c r="E27" s="43" t="s">
        <v>53</v>
      </c>
      <c r="F27" s="43"/>
    </row>
    <row r="28" spans="2:9" ht="15" customHeight="1" x14ac:dyDescent="0.25">
      <c r="B28" s="21" t="s">
        <v>35</v>
      </c>
      <c r="C28" s="22">
        <v>8.7499999999999994E-2</v>
      </c>
      <c r="E28" s="11" t="s">
        <v>54</v>
      </c>
      <c r="F28" s="44">
        <v>60900</v>
      </c>
    </row>
    <row r="29" spans="2:9" ht="15" customHeight="1" x14ac:dyDescent="0.25">
      <c r="B29" s="1" t="s">
        <v>36</v>
      </c>
      <c r="C29" s="2">
        <v>7.0000000000000007E-2</v>
      </c>
      <c r="E29" s="5" t="s">
        <v>58</v>
      </c>
      <c r="F29" s="63">
        <f xml:space="preserve"> 0.91*0.91*0.85*0.5 * F28</f>
        <v>21433.29825</v>
      </c>
      <c r="I29" s="30"/>
    </row>
    <row r="30" spans="2:9" ht="15" customHeight="1" thickBot="1" x14ac:dyDescent="0.3">
      <c r="B30" s="1" t="s">
        <v>37</v>
      </c>
      <c r="C30" s="2">
        <v>0.05</v>
      </c>
      <c r="E30" s="65" t="s">
        <v>61</v>
      </c>
      <c r="F30" s="66">
        <v>0</v>
      </c>
    </row>
    <row r="31" spans="2:9" ht="15.75" customHeight="1" thickBot="1" x14ac:dyDescent="0.3">
      <c r="B31" s="1" t="s">
        <v>38</v>
      </c>
      <c r="C31" s="2">
        <v>7.0000000000000007E-2</v>
      </c>
      <c r="E31" s="64" t="s">
        <v>55</v>
      </c>
      <c r="F31" s="68" t="s">
        <v>62</v>
      </c>
      <c r="G31" s="32" t="s">
        <v>59</v>
      </c>
    </row>
    <row r="32" spans="2:9" ht="15" customHeight="1" x14ac:dyDescent="0.25">
      <c r="B32" s="1" t="s">
        <v>39</v>
      </c>
      <c r="C32" s="2">
        <v>0.1</v>
      </c>
      <c r="E32" s="21" t="s">
        <v>39</v>
      </c>
      <c r="F32" s="69">
        <f>G20</f>
        <v>18559.191483538416</v>
      </c>
      <c r="G32" s="67">
        <f>IF(F32&gt;0, 1 / ( ((F32 - $F$30) / (2 * $F$29)) + ((F32 +$F$30) / (2 * $F$28)) ), "Member Not in Tension")</f>
        <v>1.7084478615989533</v>
      </c>
    </row>
    <row r="33" spans="2:8" ht="15.75" customHeight="1" thickBot="1" x14ac:dyDescent="0.3">
      <c r="B33" s="4" t="s">
        <v>40</v>
      </c>
      <c r="C33" s="23">
        <v>0.03</v>
      </c>
      <c r="D33" s="18"/>
      <c r="E33" s="1" t="s">
        <v>35</v>
      </c>
      <c r="F33" s="72">
        <f t="shared" ref="F33:F36" si="0">G21</f>
        <v>-18292.942786826916</v>
      </c>
      <c r="G33" s="70" t="str">
        <f t="shared" ref="G33:G36" si="1">IF(F33&gt;0, 1 / ( ((F33 - $F$30) / (2 * $F$29)) + ((F33 +$F$30) / (2 * $F$28)) ), "Member Not in Tension")</f>
        <v>Member Not in Tension</v>
      </c>
    </row>
    <row r="34" spans="2:8" ht="15.75" customHeight="1" thickBot="1" x14ac:dyDescent="0.3">
      <c r="E34" s="1" t="s">
        <v>36</v>
      </c>
      <c r="F34" s="72">
        <f t="shared" si="0"/>
        <v>-49062.283300401257</v>
      </c>
      <c r="G34" s="70" t="str">
        <f t="shared" si="1"/>
        <v>Member Not in Tension</v>
      </c>
    </row>
    <row r="35" spans="2:8" ht="15.75" customHeight="1" thickBot="1" x14ac:dyDescent="0.3">
      <c r="B35" s="24" t="s">
        <v>43</v>
      </c>
      <c r="C35" s="25"/>
      <c r="E35" s="1" t="s">
        <v>37</v>
      </c>
      <c r="F35" s="72">
        <f t="shared" si="0"/>
        <v>9466.3786274869817</v>
      </c>
      <c r="G35" s="67">
        <f t="shared" si="1"/>
        <v>3.3494763151549547</v>
      </c>
    </row>
    <row r="36" spans="2:8" ht="15.75" thickBot="1" x14ac:dyDescent="0.3">
      <c r="B36" s="11" t="s">
        <v>51</v>
      </c>
      <c r="C36" s="45" t="str">
        <f>IF(MIN(H20:H24)&lt;=1, C3, "Does Not Yield")</f>
        <v>Does Not Yield</v>
      </c>
      <c r="E36" s="4" t="s">
        <v>40</v>
      </c>
      <c r="F36" s="73">
        <f t="shared" si="0"/>
        <v>31728.406958070929</v>
      </c>
      <c r="G36" s="71">
        <f t="shared" si="1"/>
        <v>0.99933826003171344</v>
      </c>
    </row>
    <row r="37" spans="2:8" ht="15.75" customHeight="1" thickBot="1" x14ac:dyDescent="0.3">
      <c r="B37" s="6" t="s">
        <v>52</v>
      </c>
      <c r="C37" s="46">
        <f>IF(MIN(G32:G36)&lt;=1, C3, "No Fatigue Failure")</f>
        <v>1250</v>
      </c>
      <c r="E37" s="47" t="s">
        <v>56</v>
      </c>
      <c r="F37" s="48" t="str">
        <f>INDEX(E32:E36, MATCH(MIN(G32:G36), G32:G36, 0))</f>
        <v>Chain Stays</v>
      </c>
      <c r="G37" s="74" t="s">
        <v>63</v>
      </c>
      <c r="H37" s="75"/>
    </row>
    <row r="40" spans="2:8" ht="15.75" customHeight="1" x14ac:dyDescent="0.25"/>
    <row r="43" spans="2:8" x14ac:dyDescent="0.25">
      <c r="H43">
        <v>551</v>
      </c>
    </row>
  </sheetData>
  <mergeCells count="11">
    <mergeCell ref="G37:H37"/>
    <mergeCell ref="E2:F2"/>
    <mergeCell ref="B2:C2"/>
    <mergeCell ref="B27:C27"/>
    <mergeCell ref="B21:C21"/>
    <mergeCell ref="B15:C15"/>
    <mergeCell ref="E19:F19"/>
    <mergeCell ref="E10:F10"/>
    <mergeCell ref="E25:F25"/>
    <mergeCell ref="E5:F5"/>
    <mergeCell ref="B4:C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Static Analysis Calculator</vt:lpstr>
      <vt:lpstr>Redesign Verification Analysis</vt:lpstr>
      <vt:lpstr>'Static Analysis Calculator'!CritFatigueWeight</vt:lpstr>
      <vt:lpstr>CritFatigueWeight</vt:lpstr>
      <vt:lpstr>'Static Analysis Calculator'!FOS_Fatigue</vt:lpstr>
      <vt:lpstr>FOS_Fatigue</vt:lpstr>
      <vt:lpstr>'Static Analysis Calculator'!FOS_Tube_List</vt:lpstr>
      <vt:lpstr>FOS_Tube_List</vt:lpstr>
      <vt:lpstr>'Static Analysis Calculator'!RiderWeightInput</vt:lpstr>
      <vt:lpstr>RiderWeightInput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 Sennett</dc:creator>
  <cp:lastModifiedBy>Jennifer Sennett</cp:lastModifiedBy>
  <dcterms:created xsi:type="dcterms:W3CDTF">2025-03-04T06:10:36Z</dcterms:created>
  <dcterms:modified xsi:type="dcterms:W3CDTF">2025-05-05T03:48:04Z</dcterms:modified>
</cp:coreProperties>
</file>